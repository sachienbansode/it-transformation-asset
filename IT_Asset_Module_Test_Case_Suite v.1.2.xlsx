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est Cases" sheetId="2" state="visible" r:id="rId4"/>
    <sheet name="Portal Setup &amp; Page Keys" sheetId="3" state="visible" r:id="rId5"/>
  </sheets>
  <definedNames>
    <definedName function="false" hidden="true" localSheetId="1" name="_xlnm._FilterDatabase" vbProcedure="false">'Test Cases'!$A$1:$O$106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<sst xmlns="http://schemas.openxmlformats.org/spreadsheetml/2006/main" count="1291" uniqueCount="569">
  <si>
    <t xml:space="preserve">IT Asset Management — Test Case Suite</t>
  </si>
  <si>
    <t xml:space="preserve">Application</t>
  </si>
  <si>
    <t xml:space="preserve">IT Transformation Hub (ithub-uat.niytri.com)</t>
  </si>
  <si>
    <t xml:space="preserve">Scope</t>
  </si>
  <si>
    <t xml:space="preserve">IT Asset Management module + Central Identity (Ashika Portal SSO) &amp; RBAC</t>
  </si>
  <si>
    <t xml:space="preserve">Build / Release</t>
  </si>
  <si>
    <t xml:space="preserve">Release 2026-10 — contracts/AMC, warranty, depreciation, license compliance, asset dashboard, central identity</t>
  </si>
  <si>
    <t xml:space="preserve">Automated run</t>
  </si>
  <si>
    <t xml:space="preserve">2026-10-18 · local UAT replica with mock Ashika Portal (SSO endpoints per Integration Guide v1.1)</t>
  </si>
  <si>
    <t xml:space="preserve">Prepared by</t>
  </si>
  <si>
    <t xml:space="preserve">NIYTRI Technologies</t>
  </si>
  <si>
    <t xml:space="preserve">Module</t>
  </si>
  <si>
    <t xml:space="preserve">Sub-module</t>
  </si>
  <si>
    <t xml:space="preserve">Total cases</t>
  </si>
  <si>
    <t xml:space="preserve">Automated Pass</t>
  </si>
  <si>
    <t xml:space="preserve">Automated Fail</t>
  </si>
  <si>
    <t xml:space="preserve">Manual (UAT)</t>
  </si>
  <si>
    <t xml:space="preserve">UAT Pass</t>
  </si>
  <si>
    <t xml:space="preserve">UAT Fail</t>
  </si>
  <si>
    <t xml:space="preserve">UAT Pending</t>
  </si>
  <si>
    <t xml:space="preserve">IT Asset Management</t>
  </si>
  <si>
    <t xml:space="preserve">Asset Registry</t>
  </si>
  <si>
    <t xml:space="preserve">Asset Register Upload</t>
  </si>
  <si>
    <t xml:space="preserve">Handovers</t>
  </si>
  <si>
    <t xml:space="preserve">Lifecycle</t>
  </si>
  <si>
    <t xml:space="preserve">My Assets</t>
  </si>
  <si>
    <t xml:space="preserve">Physical Audit</t>
  </si>
  <si>
    <t xml:space="preserve">Contracts &amp; AMC</t>
  </si>
  <si>
    <t xml:space="preserve">Depreciation</t>
  </si>
  <si>
    <t xml:space="preserve">Licenses</t>
  </si>
  <si>
    <t xml:space="preserve">Vendors</t>
  </si>
  <si>
    <t xml:space="preserve">Asset Dashboard</t>
  </si>
  <si>
    <t xml:space="preserve">QR Stickers</t>
  </si>
  <si>
    <t xml:space="preserve">Employee Assets</t>
  </si>
  <si>
    <t xml:space="preserve">History</t>
  </si>
  <si>
    <t xml:space="preserve">Masters</t>
  </si>
  <si>
    <t xml:space="preserve">Responsive</t>
  </si>
  <si>
    <t xml:space="preserve">Performance</t>
  </si>
  <si>
    <t xml:space="preserve">IT Asset Management — subtotal</t>
  </si>
  <si>
    <t xml:space="preserve">Identity &amp; Access Management</t>
  </si>
  <si>
    <t xml:space="preserve">Central Identity (Ashika Portal SSO)</t>
  </si>
  <si>
    <t xml:space="preserve">Role-based Access (RBAC)</t>
  </si>
  <si>
    <t xml:space="preserve">API Security</t>
  </si>
  <si>
    <t xml:space="preserve">Roles &amp; Permissions</t>
  </si>
  <si>
    <t xml:space="preserve">Identity &amp; Access Management — subtotal</t>
  </si>
  <si>
    <t xml:space="preserve">Grand total</t>
  </si>
  <si>
    <t xml:space="preserve">Automated pass rate</t>
  </si>
  <si>
    <t xml:space="preserve">UAT pass rate (of executed)</t>
  </si>
  <si>
    <t xml:space="preserve">How to use</t>
  </si>
  <si>
    <t xml:space="preserve">Yellow cells on 'Test Cases' (UAT Result, Tester, Date, Remarks) are for the client's UAT team — pick Pass / Fail / Blocked / Not Run.</t>
  </si>
  <si>
    <t xml:space="preserve">Columns J–K show the automated run done before delivery (API + browser). 'Manual (UAT)' rows are UI checks to execute by hand.</t>
  </si>
  <si>
    <t xml:space="preserve">This Summary recalculates automatically from the Test Cases sheet.</t>
  </si>
  <si>
    <t xml:space="preserve">Example: UAT Result = Pass, UAT Tester = 'IT Asset team', UAT Date = 2026-10-20, Remarks = 'OK on Chrome / Android'.</t>
  </si>
  <si>
    <t xml:space="preserve">Central Identity cases need the Portal admin to register IT Hub first — values on the 'Portal Setup &amp; Page Keys' sheet.</t>
  </si>
  <si>
    <t xml:space="preserve">Test ID</t>
  </si>
  <si>
    <t xml:space="preserve">Test Scenario</t>
  </si>
  <si>
    <t xml:space="preserve">Pre-conditions</t>
  </si>
  <si>
    <t xml:space="preserve">Test Steps (in the application)</t>
  </si>
  <si>
    <t xml:space="preserve">Expected Result</t>
  </si>
  <si>
    <t xml:space="preserve">Priority</t>
  </si>
  <si>
    <t xml:space="preserve">Type</t>
  </si>
  <si>
    <t xml:space="preserve">Automated Run (API / Browser)</t>
  </si>
  <si>
    <t xml:space="preserve">Automated Run — Actual</t>
  </si>
  <si>
    <t xml:space="preserve">UAT Result</t>
  </si>
  <si>
    <t xml:space="preserve">UAT Tester</t>
  </si>
  <si>
    <t xml:space="preserve">UAT Date</t>
  </si>
  <si>
    <t xml:space="preserve">Defect / Remarks</t>
  </si>
  <si>
    <t xml:space="preserve">AST-01</t>
  </si>
  <si>
    <t xml:space="preserve">Register a new asset with an automatic tag</t>
  </si>
  <si>
    <t xml:space="preserve">Signed in as an IT administrator (or a role with edit on this module).</t>
  </si>
  <si>
    <t xml:space="preserve">Asset Registry › Add Asset: choose type Laptop (tag auto-fills), fill name, serial, vendor, location › Create › confirm.
[API check: POST /api/assets with type Laptop, serial, vendor]</t>
  </si>
  <si>
    <t xml:space="preserve">HTTP 201; tag LAP-####; trail entry "Registered"</t>
  </si>
  <si>
    <t xml:space="preserve">High</t>
  </si>
  <si>
    <t xml:space="preserve">Positive</t>
  </si>
  <si>
    <t xml:space="preserve">Pass</t>
  </si>
  <si>
    <t xml:space="preserve">As expected</t>
  </si>
  <si>
    <t xml:space="preserve">AST-02</t>
  </si>
  <si>
    <t xml:space="preserve">Duplicate serial number for same type is rejected</t>
  </si>
  <si>
    <t xml:space="preserve">Add Asset again with the same type and serial number.
[API check: POST /api/assets with an existing serial]</t>
  </si>
  <si>
    <t xml:space="preserve">HTTP 400 "already exists"</t>
  </si>
  <si>
    <t xml:space="preserve">Negative</t>
  </si>
  <si>
    <t xml:space="preserve">AST-03</t>
  </si>
  <si>
    <t xml:space="preserve">New asset cannot start as Allocated</t>
  </si>
  <si>
    <t xml:space="preserve">(API rule) New assets can be In Stock / In Use / Under Maintenance / Retired only — status list in Add Asset.
[API check: POST /api/assets with status Allocated]</t>
  </si>
  <si>
    <t xml:space="preserve">HTTP 400 — use Issue instead</t>
  </si>
  <si>
    <t xml:space="preserve">AST-04</t>
  </si>
  <si>
    <t xml:space="preserve">Edit requires a reason comment</t>
  </si>
  <si>
    <t xml:space="preserve">Edit the asset, change Location, leave the comment empty, Save.
[API check: PATCH /api/assets/:id without comment]</t>
  </si>
  <si>
    <t xml:space="preserve">HTTP 400 asking for a comment</t>
  </si>
  <si>
    <t xml:space="preserve">AST-05</t>
  </si>
  <si>
    <t xml:space="preserve">Edit with comment records a field-level change trail</t>
  </si>
  <si>
    <t xml:space="preserve">Edit again with a comment, Save; open the asset › History &amp; comments.
[API check: PATCH location + comment]</t>
  </si>
  <si>
    <t xml:space="preserve">HTTP 200; trail "Updated" with Location from→to and the comment</t>
  </si>
  <si>
    <t xml:space="preserve">AST-06</t>
  </si>
  <si>
    <t xml:space="preserve">Status cannot be changed through edit</t>
  </si>
  <si>
    <t xml:space="preserve">Edit form: status is not editable — use lifecycle buttons.
[API check: PATCH status=Retired with comment]</t>
  </si>
  <si>
    <t xml:space="preserve">Status unchanged (lifecycle actions only)</t>
  </si>
  <si>
    <t xml:space="preserve">AST-07</t>
  </si>
  <si>
    <t xml:space="preserve">Comment on an asset</t>
  </si>
  <si>
    <t xml:space="preserve">Asset › History &amp; comments › add a comment.
[API check: POST /api/asset-comments/:id]</t>
  </si>
  <si>
    <t xml:space="preserve">HTTP 200/201 and visible in trail</t>
  </si>
  <si>
    <t xml:space="preserve">AST-08</t>
  </si>
  <si>
    <t xml:space="preserve">Upload validation rejects bad rows and saves nothing</t>
  </si>
  <si>
    <t xml:space="preserve">Upload Register with a file containing an invalid type, a bad date and a missing vendor.
[API check: POST /api/assets/import (dry run) with invalid type, bad date, missing vendor]</t>
  </si>
  <si>
    <t xml:space="preserve">errors listed per row/column; inserted=0</t>
  </si>
  <si>
    <t xml:space="preserve">AST-09</t>
  </si>
  <si>
    <t xml:space="preserve">Valid upload imports, auto-tags and creates vendors</t>
  </si>
  <si>
    <t xml:space="preserve">Upload Register with 2 valid rows (one Allocated with Assigned To).
[API check: POST /api/assets/import with 2 valid rows (dryRun false)]</t>
  </si>
  <si>
    <t xml:space="preserve">inserted=2; tags generated</t>
  </si>
  <si>
    <t xml:space="preserve">AST-10</t>
  </si>
  <si>
    <t xml:space="preserve">Sample template rows are refused</t>
  </si>
  <si>
    <t xml:space="preserve">Upload the template without deleting the SAMPLE rows.
[API check: Import a row with tag SAMPLE-001]</t>
  </si>
  <si>
    <t xml:space="preserve">Row error "Sample row from the template"</t>
  </si>
  <si>
    <t xml:space="preserve">LC-01</t>
  </si>
  <si>
    <t xml:space="preserve">Issue an asset to an employee</t>
  </si>
  <si>
    <t xml:space="preserve">Handovers › Issue assets: pick an In Stock asset, employee details, Permanent, Good › Issue; print handover note.
[API check: POST /api/assets/:id/issue (Permanent, condition Good)]</t>
  </si>
  <si>
    <t xml:space="preserve">Status Allocated; handover HO-YYYY-##### created, acknowledgement Pending</t>
  </si>
  <si>
    <t xml:space="preserve">LC-02</t>
  </si>
  <si>
    <t xml:space="preserve">Temporary issue requires an expected return date</t>
  </si>
  <si>
    <t xml:space="preserve">Issue as Temporary / Loaner without an expected return date.
[API check: Issue with allocationType Temporary and no return date]</t>
  </si>
  <si>
    <t xml:space="preserve">HTTP 400</t>
  </si>
  <si>
    <t xml:space="preserve">LC-03</t>
  </si>
  <si>
    <t xml:space="preserve">Allocated asset cannot be deleted</t>
  </si>
  <si>
    <t xml:space="preserve">Try to delete an Allocated asset.
[API check: DELETE /api/assets/:id while Allocated]</t>
  </si>
  <si>
    <t xml:space="preserve">LC-04</t>
  </si>
  <si>
    <t xml:space="preserve">IT records the employee acknowledgement</t>
  </si>
  <si>
    <t xml:space="preserve">Handovers › Ack pending › mark acknowledged.
[API check: POST /api/asset-allocations/:id/acknowledge]</t>
  </si>
  <si>
    <t xml:space="preserve">ackStatus Acknowledged; trail entry</t>
  </si>
  <si>
    <t xml:space="preserve">LC-05</t>
  </si>
  <si>
    <t xml:space="preserve">Return needs a condition</t>
  </si>
  <si>
    <t xml:space="preserve">Return the asset without choosing a condition.
[API check: POST /api/assets/:id/return without condition]</t>
  </si>
  <si>
    <t xml:space="preserve">LC-06</t>
  </si>
  <si>
    <t xml:space="preserve">Return the asset to stock</t>
  </si>
  <si>
    <t xml:space="preserve">Return the asset: condition Good, next status In Stock.
[API check: POST return with condition Good, next In Stock]</t>
  </si>
  <si>
    <t xml:space="preserve">Status In Stock; handover Returned</t>
  </si>
  <si>
    <t xml:space="preserve">LC-07</t>
  </si>
  <si>
    <t xml:space="preserve">Send to maintenance needs a reason</t>
  </si>
  <si>
    <t xml:space="preserve">Asset › Lifecycle › Send to maintenance without a reason.
[API check: POST transition Under Maintenance without reason]</t>
  </si>
  <si>
    <t xml:space="preserve">LC-08</t>
  </si>
  <si>
    <t xml:space="preserve">Maintenance round trip</t>
  </si>
  <si>
    <t xml:space="preserve">Send to maintenance with a reason, then Repair completed.
[API check: Transition → Under Maintenance (reason) → In Stock]</t>
  </si>
  <si>
    <t xml:space="preserve">Both HTTP 200, statuses follow</t>
  </si>
  <si>
    <t xml:space="preserve">LC-09</t>
  </si>
  <si>
    <t xml:space="preserve">Invalid transition is blocked</t>
  </si>
  <si>
    <t xml:space="preserve">Try to dispose an In Stock asset directly.
[API check: In Stock → Disposed directly]</t>
  </si>
  <si>
    <t xml:space="preserve">HTTP 400 "Cannot move"</t>
  </si>
  <si>
    <t xml:space="preserve">LC-10</t>
  </si>
  <si>
    <t xml:space="preserve">Retire then dispose with certificate</t>
  </si>
  <si>
    <t xml:space="preserve">Retire an asset, then Dispose with method, certificate no. and value.
[API check: Retired (reason) → Disposed (method, certificate, value)]</t>
  </si>
  <si>
    <t xml:space="preserve">Status Disposed; disposal fields stored</t>
  </si>
  <si>
    <t xml:space="preserve">LC-11</t>
  </si>
  <si>
    <t xml:space="preserve">Employee sees and acknowledges own assets</t>
  </si>
  <si>
    <t xml:space="preserve">Issue an asset to your own email; open User menu › My Assets and acknowledge.
[API check: Issue to the Portal user email; GET /api/my-assets as that user; acknowledge]</t>
  </si>
  <si>
    <t xml:space="preserve">Asset listed; acknowledgement recorded</t>
  </si>
  <si>
    <t xml:space="preserve">AUD-01</t>
  </si>
  <si>
    <t xml:space="preserve">Plan an audit for a location</t>
  </si>
  <si>
    <t xml:space="preserve">Physical Audit › Plan audit: name, location Worli › Plan.
[API check: POST /api/asset-audits {name, locations:[Worli]}]</t>
  </si>
  <si>
    <t xml:space="preserve">HTTP 201; AUD-YYYY-####; expected count &gt; 0</t>
  </si>
  <si>
    <t xml:space="preserve">Medium</t>
  </si>
  <si>
    <t xml:space="preserve">AUD-02</t>
  </si>
  <si>
    <t xml:space="preserve">Scanning before start is refused</t>
  </si>
  <si>
    <t xml:space="preserve">Open the planned audit and try to scan before Start.
[API check: POST scan while Planned]</t>
  </si>
  <si>
    <t xml:space="preserve">HTTP 400 "Start the audit"</t>
  </si>
  <si>
    <t xml:space="preserve">AUD-03</t>
  </si>
  <si>
    <t xml:space="preserve">Scan a QR sticker URL</t>
  </si>
  <si>
    <t xml:space="preserve">Start the audit, choose location, scan a QR sticker with the phone camera (or type the tag).
[API check: Start; POST scan with https://host/a/&lt;TAG&gt;]</t>
  </si>
  <si>
    <t xml:space="preserve">Item marked Found / Location mismatch / Not in scope</t>
  </si>
  <si>
    <t xml:space="preserve">AUD-04</t>
  </si>
  <si>
    <t xml:space="preserve">Complete marks unscanned as Missing</t>
  </si>
  <si>
    <t xml:space="preserve">Complete the audit; check the Missing tab and report.
[API check: POST complete]</t>
  </si>
  <si>
    <t xml:space="preserve">Status Completed; summary has Missing count</t>
  </si>
  <si>
    <t xml:space="preserve">CT-01</t>
  </si>
  <si>
    <t xml:space="preserve">Create an AMC covering assets</t>
  </si>
  <si>
    <t xml:space="preserve">Contracts &amp; AMC › New contract: Comprehensive AMC, vendor, dates, value, select assets › Create.
[API check: POST /api/asset-contracts with dates, value, assetIds]</t>
  </si>
  <si>
    <t xml:space="preserve">HTTP 201; CT-YYYY-####; assets covered; trail "Contract"</t>
  </si>
  <si>
    <t xml:space="preserve">CT-02</t>
  </si>
  <si>
    <t xml:space="preserve">End date before start date is rejected</t>
  </si>
  <si>
    <t xml:space="preserve">New contract with end date before start date.
[API check: POST contract with end &lt; start]</t>
  </si>
  <si>
    <t xml:space="preserve">CT-03</t>
  </si>
  <si>
    <t xml:space="preserve">Contract within notice period shows as Expiring</t>
  </si>
  <si>
    <t xml:space="preserve">Check the contract status pill when the end date is within the reminder days.
[API check: GET /api/asset-contracts]</t>
  </si>
  <si>
    <t xml:space="preserve">state=Expiring for an end date within 30 days</t>
  </si>
  <si>
    <t xml:space="preserve">state=Expiring, daysLeft=23</t>
  </si>
  <si>
    <t xml:space="preserve">CT-04</t>
  </si>
  <si>
    <t xml:space="preserve">Renew a contract — assets carry over, old one keeps cover till its end</t>
  </si>
  <si>
    <t xml:space="preserve">Open the contract › Renew: new dates/value › Confirm; open an asset › Warranty &amp; finance.
[API check: POST /api/asset-contracts/:id/renew]</t>
  </si>
  <si>
    <t xml:space="preserve">New contract created; old status Renewed; asset still covered today</t>
  </si>
  <si>
    <t xml:space="preserve">CT-05</t>
  </si>
  <si>
    <t xml:space="preserve">A renewed contract cannot be renewed again</t>
  </si>
  <si>
    <t xml:space="preserve">Open the old (Renewed) contract — Renew is not offered.
[API check: POST renew on the old contract]</t>
  </si>
  <si>
    <t xml:space="preserve">FIN-01</t>
  </si>
  <si>
    <t xml:space="preserve">Finance upload validates before saving</t>
  </si>
  <si>
    <t xml:space="preserve">Depreciation › Update purchase &amp; cost › upload a sheet with a bad date and an unknown tag.
[API check: POST /api/assets/finance-update (dry run) with a bad date and unknown tag]</t>
  </si>
  <si>
    <t xml:space="preserve">Errors listed; nothing updated</t>
  </si>
  <si>
    <t xml:space="preserve">FIN-02</t>
  </si>
  <si>
    <t xml:space="preserve">Finance upload fills purchase date, cost and warranty</t>
  </si>
  <si>
    <t xml:space="preserve">Download 'Missing only' sheet, fill purchase date, cost, warranty for one asset, upload, Apply.
[API check: POST finance-update (apply) for the QA asset]</t>
  </si>
  <si>
    <t xml:space="preserve">updated=1; trail "Updated" with the changes</t>
  </si>
  <si>
    <t xml:space="preserve">FIN-03</t>
  </si>
  <si>
    <t xml:space="preserve">SLM schedule follows Schedule II (3 yrs, 5% residual, Indian FY)</t>
  </si>
  <si>
    <t xml:space="preserve">Depreciation › Register › click the asset › schedule (₹1,00,000 from 01-Apr-2024, SLM 3y).
[API check: GET /api/asset-depreciation/asset/:id]</t>
  </si>
  <si>
    <t xml:space="preserve">FY 2024-25 dep ₹31,666.67; closing after 3 yrs = ₹5,000</t>
  </si>
  <si>
    <t xml:space="preserve">FIN-04</t>
  </si>
  <si>
    <t xml:space="preserve">WDV override uses the Schedule II rate (63.16% for 3 yrs)</t>
  </si>
  <si>
    <t xml:space="preserve">Edit the asset: Depreciation method WDV › view schedule; then set back to 'As per rule'.
[API check: PATCH asset depreciationMethod=WDV; GET schedule]</t>
  </si>
  <si>
    <t xml:space="preserve">First full year dep ≈ 63.16% of opening</t>
  </si>
  <si>
    <t xml:space="preserve">FIN-05</t>
  </si>
  <si>
    <t xml:space="preserve">Fixed-asset register balances (opening + additions − deletions = closing)</t>
  </si>
  <si>
    <t xml:space="preserve">Depreciation › Register for FY 2026-27 › Export register; check totals.
[API check: GET /api/asset-depreciation/register?fy=2026]</t>
  </si>
  <si>
    <t xml:space="preserve">Gross &amp; accumulated blocks reconcile</t>
  </si>
  <si>
    <t xml:space="preserve">FIN-06</t>
  </si>
  <si>
    <t xml:space="preserve">Disposed asset shows as deletion with gain/loss</t>
  </si>
  <si>
    <t xml:space="preserve">Register: find the disposed asset (deleted this year, gain/loss).
[API check: Register for FY of disposal]</t>
  </si>
  <si>
    <t xml:space="preserve">deletions include asset cost; gainLoss computed</t>
  </si>
  <si>
    <t xml:space="preserve">FIN-07</t>
  </si>
  <si>
    <t xml:space="preserve">Rule validation</t>
  </si>
  <si>
    <t xml:space="preserve">Depreciation › Rules: set useful life 0 for a type › Save.
[API check: PUT rule with useful life 0]</t>
  </si>
  <si>
    <t xml:space="preserve">LIC-01</t>
  </si>
  <si>
    <t xml:space="preserve">Add a per-user subscription</t>
  </si>
  <si>
    <t xml:space="preserve">Licenses › Add license: Per User, 3 seats, ₹60,000, dates › Add.
[API check: POST /api/asset-licenses (3 seats, ₹60,000)]</t>
  </si>
  <si>
    <t xml:space="preserve">HTTP 201</t>
  </si>
  <si>
    <t xml:space="preserve">LIC-02</t>
  </si>
  <si>
    <t xml:space="preserve">Assign seats to users; duplicates skipped</t>
  </si>
  <si>
    <t xml:space="preserve">Open license › Assign to users: paste 4 lines incl. one duplicate › Assign.
[API check: POST assignments with 4 users incl. one duplicate]</t>
  </si>
  <si>
    <t xml:space="preserve">added=3, skipped 1; tracking=Assignments</t>
  </si>
  <si>
    <t xml:space="preserve">LIC-03</t>
  </si>
  <si>
    <t xml:space="preserve">Over-assignment flags Under-licensed with true-up exposure</t>
  </si>
  <si>
    <t xml:space="preserve">Assign to devices: 1 laptop (4th seat) › confirm warning.
[API check: Assign the license to 1 device (4th seat)]</t>
  </si>
  <si>
    <t xml:space="preserve">compliance Under-licensed; exposure ₹20,000</t>
  </si>
  <si>
    <t xml:space="preserve">LIC-04</t>
  </si>
  <si>
    <t xml:space="preserve">Revoke needs a reason</t>
  </si>
  <si>
    <t xml:space="preserve">Revoke a seat with an empty reason.
[API check: POST revoke with empty reason]</t>
  </si>
  <si>
    <t xml:space="preserve">LIC-05</t>
  </si>
  <si>
    <t xml:space="preserve">Seats on a disposed/retired device appear as reclaim candidates</t>
  </si>
  <si>
    <t xml:space="preserve">Retire the laptop holding a seat; Licenses › Compliance › Reclaim candidates.
[API check: Retire the device; GET compliance]</t>
  </si>
  <si>
    <t xml:space="preserve">Reclaim list contains the device seat</t>
  </si>
  <si>
    <t xml:space="preserve">LIC-06</t>
  </si>
  <si>
    <t xml:space="preserve">Revoke frees the seat and restores compliance</t>
  </si>
  <si>
    <t xml:space="preserve">Reclaim the seat with a reason.
[API check: POST revoke with reason]</t>
  </si>
  <si>
    <t xml:space="preserve">compliance Compliant; trail entry on the device</t>
  </si>
  <si>
    <t xml:space="preserve">LIC-07</t>
  </si>
  <si>
    <t xml:space="preserve">License with assigned seats cannot be deleted</t>
  </si>
  <si>
    <t xml:space="preserve">Delete the license while seats are assigned.
[API check: DELETE /api/asset-licenses/:id]</t>
  </si>
  <si>
    <t xml:space="preserve">LIC-08</t>
  </si>
  <si>
    <t xml:space="preserve">Expired license still in use is flagged</t>
  </si>
  <si>
    <t xml:space="preserve">Edit the license expiry to a past date.
[API check: Set expiry in the past]</t>
  </si>
  <si>
    <t xml:space="preserve">compliance "Expired – in use"</t>
  </si>
  <si>
    <t xml:space="preserve">LIC-09</t>
  </si>
  <si>
    <t xml:space="preserve">Edit form round-trip (dates/timestamps) works</t>
  </si>
  <si>
    <t xml:space="preserve">Edit any license and Save without changes (regression of 'toISOString' error).
[API check: PATCH the full record as returned by GET]</t>
  </si>
  <si>
    <t xml:space="preserve">HTTP 200 — no "toISOString" error</t>
  </si>
  <si>
    <t xml:space="preserve">VEN-01</t>
  </si>
  <si>
    <t xml:space="preserve">Vendor create / edit / delete</t>
  </si>
  <si>
    <t xml:space="preserve">Vendors › Add, Edit, Delete a vendor.
[API check: POST, PATCH, DELETE /api/asset-vendors]</t>
  </si>
  <si>
    <t xml:space="preserve">HTTP 201, 200, 204</t>
  </si>
  <si>
    <t xml:space="preserve">DB-01</t>
  </si>
  <si>
    <t xml:space="preserve">Dashboard aggregates all modules</t>
  </si>
  <si>
    <t xml:space="preserve">Assets loaded.</t>
  </si>
  <si>
    <t xml:space="preserve">Open Asset Dashboard; click each tile and 'Needs attention' row.
[API check: GET /api/asset-dashboard]</t>
  </si>
  <si>
    <t xml:space="preserve">inventory, handovers, warranty, contracts, finance, licenses, audits, attention, activity present</t>
  </si>
  <si>
    <t xml:space="preserve">DB-02</t>
  </si>
  <si>
    <t xml:space="preserve">Dashboard is permission-checked</t>
  </si>
  <si>
    <t xml:space="preserve">Sign in as a user without the Asset Dashboard page and open /assets.
[API check: GET /api/asset-dashboard without the "assets" module]</t>
  </si>
  <si>
    <t xml:space="preserve">HTTP 403</t>
  </si>
  <si>
    <t xml:space="preserve">SSO-01</t>
  </si>
  <si>
    <t xml:space="preserve">Login page discovers Ashika Portal sign-in</t>
  </si>
  <si>
    <t xml:space="preserve">IT Hub registered in Ashika Portal (sso_apps); CENTRAL_SSO_* set on the server.</t>
  </si>
  <si>
    <t xml:space="preserve">Open https://ithub-uat.niytri.com/login.
[API check: GET /api/auth/central/config]</t>
  </si>
  <si>
    <t xml:space="preserve">enabled=true, localLogin=admin, button label returned</t>
  </si>
  <si>
    <t xml:space="preserve">SSO-02</t>
  </si>
  <si>
    <t xml:space="preserve">Break-glass: local administrator can still sign in with password</t>
  </si>
  <si>
    <t xml:space="preserve">On the login page click 'Administrator sign-in (break-glass)', enter the local admin email + password, Sign In.
[API check: POST /api/auth/login as local admin]</t>
  </si>
  <si>
    <t xml:space="preserve">HTTP 200; /auth/me identitySource=local</t>
  </si>
  <si>
    <t xml:space="preserve">SSO-03</t>
  </si>
  <si>
    <t xml:space="preserve">Local non-admin password login is blocked when Central Identity is on</t>
  </si>
  <si>
    <t xml:space="preserve">Click 'Administrator sign-in', enter a NON-admin local user's email + password, Sign In.
[API check: POST /api/auth/login as a local non-admin user]</t>
  </si>
  <si>
    <t xml:space="preserve">HTTP 403 with "Sign in with Ashika Portal" message</t>
  </si>
  <si>
    <t xml:space="preserve">SSO-04</t>
  </si>
  <si>
    <t xml:space="preserve">Full-access Portal user signs in (authorize → code → token)</t>
  </si>
  <si>
    <t xml:space="preserve">Click 'Sign in with Ashika Portal'. Sign in on the Portal as a user whose role has full access (pages *).
[API check: Start /api/auth/central/login, Portal returns code, app exchanges it]</t>
  </si>
  <si>
    <t xml:space="preserve">Lands on requested page; /auth/me role=admin, identitySource=central, all modules admin</t>
  </si>
  <si>
    <t xml:space="preserve">SSO-05</t>
  </si>
  <si>
    <t xml:space="preserve">First Portal sign-in provisions a local profile without a password</t>
  </si>
  <si>
    <t xml:space="preserve">(DB / Admin › User Master) After SSO-04, open User Master and find the user.
[API check: Check users table after SSO-04]</t>
  </si>
  <si>
    <t xml:space="preserve">User row exists, identity_source=central, password_hash empty</t>
  </si>
  <si>
    <t xml:space="preserve">SSO-06</t>
  </si>
  <si>
    <t xml:space="preserve">View-only Portal role gets read access only to its pages</t>
  </si>
  <si>
    <t xml:space="preserve">Sign in via Portal as a user whose IT Hub role has view on Asset Dashboard, Asset Registry, Licenses only.
[API check: Sign in as Asset Viewer (pages: assets, asset_registry, asset_licenses — view)]</t>
  </si>
  <si>
    <t xml:space="preserve">/auth/me shows read for those 3 modules and nothing else</t>
  </si>
  <si>
    <t xml:space="preserve">RBAC-01</t>
  </si>
  <si>
    <t xml:space="preserve">Viewer can read the asset register</t>
  </si>
  <si>
    <t xml:space="preserve">Portal roles exist for the listed page keys (see 'Portal Setup &amp; Page Keys').</t>
  </si>
  <si>
    <t xml:space="preserve">As the view-only user open IT Assets › Asset Registry.
[API check: GET /api/assets as Asset Viewer]</t>
  </si>
  <si>
    <t xml:space="preserve">HTTP 200</t>
  </si>
  <si>
    <t xml:space="preserve">RBAC-02</t>
  </si>
  <si>
    <t xml:space="preserve">Viewer cannot create an asset</t>
  </si>
  <si>
    <t xml:space="preserve">As the view-only user look for 'Add Asset' / 'Upload Register' / Edit icons.
[API check: POST /api/assets as Asset Viewer]</t>
  </si>
  <si>
    <t xml:space="preserve">HTTP 403 "view-only access"</t>
  </si>
  <si>
    <t xml:space="preserve">RBAC-03</t>
  </si>
  <si>
    <t xml:space="preserve">Viewer cannot open a module not in the Portal role</t>
  </si>
  <si>
    <t xml:space="preserve">As the view-only user type /asset-contracts in the address bar.
[API check: GET /api/asset-contracts as Asset Viewer]</t>
  </si>
  <si>
    <t xml:space="preserve">RBAC-04</t>
  </si>
  <si>
    <t xml:space="preserve">Viewer cannot see the Physical Audit module</t>
  </si>
  <si>
    <t xml:space="preserve">As the view-only user type /asset-audits in the address bar.
[API check: GET /api/asset-audits]</t>
  </si>
  <si>
    <t xml:space="preserve">RBAC-05</t>
  </si>
  <si>
    <t xml:space="preserve">Viewer cannot purge asset data (admin only)</t>
  </si>
  <si>
    <t xml:space="preserve">As the view-only user look for 'Clear All Data' in Asset Registry.
[API check: POST /api/assets/purge]</t>
  </si>
  <si>
    <t xml:space="preserve">RBAC-06</t>
  </si>
  <si>
    <t xml:space="preserve">Asset Manager (edit on registry) can create and edit assets</t>
  </si>
  <si>
    <t xml:space="preserve">Sign in as a user with edit on Asset Registry. Add an asset, then edit its location with a comment.
[API check: Sign in as Asset Manager; POST /api/assets; PATCH with comment]</t>
  </si>
  <si>
    <t xml:space="preserve">HTTP 201 then 200</t>
  </si>
  <si>
    <t xml:space="preserve">RBAC-07</t>
  </si>
  <si>
    <t xml:space="preserve">Asset Manager can issue (asset_allocations: edit)</t>
  </si>
  <si>
    <t xml:space="preserve">As the same user open Handovers › Issue assets and issue the asset.
[API check: POST /api/assets/:id/issue]</t>
  </si>
  <si>
    <t xml:space="preserve">HTTP 200/201</t>
  </si>
  <si>
    <t xml:space="preserve">RBAC-08</t>
  </si>
  <si>
    <t xml:space="preserve">Asset Manager cannot change depreciation rules (not in role)</t>
  </si>
  <si>
    <t xml:space="preserve">As the same user open /asset-depreciation (not in role).
[API check: PUT /api/asset-depreciation/rules/1]</t>
  </si>
  <si>
    <t xml:space="preserve">RBAC-09</t>
  </si>
  <si>
    <t xml:space="preserve">Shared reference data: manager can read vendor list without vendor module</t>
  </si>
  <si>
    <t xml:space="preserve">As the same user open Add Asset — the Vendor list loads.
[API check: GET /api/asset-vendors]</t>
  </si>
  <si>
    <t xml:space="preserve">SSO-07</t>
  </si>
  <si>
    <t xml:space="preserve">Role change in the Portal takes effect without re-login</t>
  </si>
  <si>
    <t xml:space="preserve">In the Portal give the view-only user 'edit' on asset_registry. Within 1 minute refresh IT Hub and add an asset (no re-login).
[API check: Grant Viewer edit on asset_registry in Portal; wait for re-validation; POST /api/assets]</t>
  </si>
  <si>
    <t xml:space="preserve">Create succeeds (HTTP 201)</t>
  </si>
  <si>
    <t xml:space="preserve">SSO-08</t>
  </si>
  <si>
    <t xml:space="preserve">User disabled in the Portal is locked out immediately</t>
  </si>
  <si>
    <t xml:space="preserve">In the Portal disable the user. Within 1 minute click anything in IT Hub.
[API check: Disable Viewer in Portal; next request after re-validation]</t>
  </si>
  <si>
    <t xml:space="preserve">HTTP 401 code=central_inactive; session destroyed</t>
  </si>
  <si>
    <t xml:space="preserve">SSO-09</t>
  </si>
  <si>
    <t xml:space="preserve">Portal denies a user without access to IT Hub</t>
  </si>
  <si>
    <t xml:space="preserve">Sign in via Portal as a user whose role is not tagged to IT Hub.
[API check: Sign in as a user whose role is not tagged to IT Hub]</t>
  </si>
  <si>
    <t xml:space="preserve">Redirect to /login?sso_error=access_denied, no session</t>
  </si>
  <si>
    <t xml:space="preserve">SSO-10</t>
  </si>
  <si>
    <t xml:space="preserve">Tampered / replayed callback is rejected (state check)</t>
  </si>
  <si>
    <t xml:space="preserve">Open /api/auth/central/callback?code=abc&amp;state=forged directly.
[API check: GET /api/auth/central/callback?code=x&amp;state=forged]</t>
  </si>
  <si>
    <t xml:space="preserve">Redirect to /login?sso_error=invalid_state</t>
  </si>
  <si>
    <t xml:space="preserve">SSO-11</t>
  </si>
  <si>
    <t xml:space="preserve">Open-redirect protection on "next"</t>
  </si>
  <si>
    <t xml:space="preserve">Open /api/auth/central/login?next=//example.com and complete sign-in.
[API check: GET /api/auth/central/login?next=//evil.example]</t>
  </si>
  <si>
    <t xml:space="preserve">After login lands on "/" not an external site</t>
  </si>
  <si>
    <t xml:space="preserve">SSO-12</t>
  </si>
  <si>
    <t xml:space="preserve">Logout ends the IT Hub session</t>
  </si>
  <si>
    <t xml:space="preserve">User menu › Logout, then press Back / open any page.
[API check: POST /api/auth/logout then GET /auth/me]</t>
  </si>
  <si>
    <t xml:space="preserve">HTTP 401 after logout</t>
  </si>
  <si>
    <t xml:space="preserve">SSO-13</t>
  </si>
  <si>
    <t xml:space="preserve">Client secret never reaches the browser</t>
  </si>
  <si>
    <t xml:space="preserve">Browser DevTools › Network: inspect login traffic for the client secret.
[API check: GET /api/auth/central/config and the login redirect URL]</t>
  </si>
  <si>
    <t xml:space="preserve">No client_secret in any browser-facing response</t>
  </si>
  <si>
    <t xml:space="preserve">SEC-01</t>
  </si>
  <si>
    <t xml:space="preserve">All asset APIs require sign-in</t>
  </si>
  <si>
    <t xml:space="preserve">Server deployed over HTTPS.</t>
  </si>
  <si>
    <t xml:space="preserve">Open /api/assets in a private window (not signed in).
[API check: GET /api/assets, /api/asset-contracts without a session]</t>
  </si>
  <si>
    <t xml:space="preserve">HTTP 401</t>
  </si>
  <si>
    <t xml:space="preserve">SEC-02</t>
  </si>
  <si>
    <t xml:space="preserve">Direct page URL /assets loads the app (no static-folder redirect)</t>
  </si>
  <si>
    <t xml:space="preserve">Open https://ithub-uat.niytri.com/assets directly / press F5 on Asset Dashboard.
[API check: GET /assets]</t>
  </si>
  <si>
    <t xml:space="preserve">HTTP 200 HTML, no 301 to /assets/</t>
  </si>
  <si>
    <t xml:space="preserve">RBAC-10</t>
  </si>
  <si>
    <t xml:space="preserve">Menu &amp; page access follow the Portal role (browser)</t>
  </si>
  <si>
    <t xml:space="preserve">Central Identity enabled; Portal roles configured.</t>
  </si>
  <si>
    <t xml:space="preserve">Sign in via Portal as Asset Manager, Asset Viewer and Full-access users; open every IT Asset page.</t>
  </si>
  <si>
    <t xml:space="preserve">Pages outside the role show 'You don't have access to this page'; Add/Edit buttons only where the role has edit.</t>
  </si>
  <si>
    <t xml:space="preserve">Manager: edit on Registry, Contracts, Handovers; no access to Licenses, Depreciation, Audit, Vendors. Viewer: view-only Registry/Licenses. Admin: all. No console errors.</t>
  </si>
  <si>
    <t xml:space="preserve">RBAC-11</t>
  </si>
  <si>
    <t xml:space="preserve">Login page shows Ashika Portal sign-in (browser)</t>
  </si>
  <si>
    <t xml:space="preserve">Open /login with Central Identity enabled.</t>
  </si>
  <si>
    <t xml:space="preserve">'Sign in with Ashika Portal' button; password form hidden behind 'Administrator sign-in (break-glass)'.</t>
  </si>
  <si>
    <t xml:space="preserve">As expected (screenshot verified).</t>
  </si>
  <si>
    <t xml:space="preserve">UI-01</t>
  </si>
  <si>
    <t xml:space="preserve">Print QR stickers (3 formats)</t>
  </si>
  <si>
    <t xml:space="preserve">Signed in with the right role; sample data loaded.</t>
  </si>
  <si>
    <t xml:space="preserve">Asset Registry › QR Stickers › choose 50×25 mm, A4 24-up, 85×54 mm › Print.</t>
  </si>
  <si>
    <t xml:space="preserve">Stickers show logo, tag, name, serial and a scannable QR; layout fits the label size.</t>
  </si>
  <si>
    <t xml:space="preserve">Functional</t>
  </si>
  <si>
    <t xml:space="preserve">UI-02</t>
  </si>
  <si>
    <t xml:space="preserve">Scan sticker with phone camera (not signed in)</t>
  </si>
  <si>
    <t xml:space="preserve">Scan a sticker with the phone camera app.</t>
  </si>
  <si>
    <t xml:space="preserve">Opens IT Hub login; after sign-in lands on that asset's page.</t>
  </si>
  <si>
    <t xml:space="preserve">UI-03</t>
  </si>
  <si>
    <t xml:space="preserve">In-app scanner</t>
  </si>
  <si>
    <t xml:space="preserve">Open /asset-scan on a phone › allow camera › scan a sticker.</t>
  </si>
  <si>
    <t xml:space="preserve">Asset details open; repeat scans within 20 s are ignored in audits.</t>
  </si>
  <si>
    <t xml:space="preserve">UI-04</t>
  </si>
  <si>
    <t xml:space="preserve">Search, filters and pagination</t>
  </si>
  <si>
    <t xml:space="preserve">Search by tag/serial/user; filter type, status, department; page through.</t>
  </si>
  <si>
    <t xml:space="preserve">Results update instantly; counts correct.</t>
  </si>
  <si>
    <t xml:space="preserve">UI-05</t>
  </si>
  <si>
    <t xml:space="preserve">Export CSV</t>
  </si>
  <si>
    <t xml:space="preserve">Asset Registry › Export CSV.</t>
  </si>
  <si>
    <t xml:space="preserve">CSV opens in Excel with all listed assets.</t>
  </si>
  <si>
    <t xml:space="preserve">UI-06</t>
  </si>
  <si>
    <t xml:space="preserve">Download template</t>
  </si>
  <si>
    <t xml:space="preserve">Upload Register › Template.</t>
  </si>
  <si>
    <t xml:space="preserve">Workbook with columns, 3 sample rows, Instructions and Allowed Values sheets.</t>
  </si>
  <si>
    <t xml:space="preserve">UI-07</t>
  </si>
  <si>
    <t xml:space="preserve">In-app confirmations</t>
  </si>
  <si>
    <t xml:space="preserve">Create, edit, delete, issue, return, renew, revoke.</t>
  </si>
  <si>
    <t xml:space="preserve">Every action shows an in-app confirmation box (never a browser pop-up).</t>
  </si>
  <si>
    <t xml:space="preserve">Usability</t>
  </si>
  <si>
    <t xml:space="preserve">UI-08</t>
  </si>
  <si>
    <t xml:space="preserve">Clear All Data (admin only)</t>
  </si>
  <si>
    <t xml:space="preserve">As full admin: Asset Registry › Clear All Data › type the confirmation text.</t>
  </si>
  <si>
    <t xml:space="preserve">All asset data cleared after typed confirmation; non-admins never see the button.</t>
  </si>
  <si>
    <t xml:space="preserve">Security</t>
  </si>
  <si>
    <t xml:space="preserve">UI-09</t>
  </si>
  <si>
    <t xml:space="preserve">Handover note print</t>
  </si>
  <si>
    <t xml:space="preserve">Handovers › print icon on a handover.</t>
  </si>
  <si>
    <t xml:space="preserve">Printable note with handover no., asset, accessories, signatures.</t>
  </si>
  <si>
    <t xml:space="preserve">UI-10</t>
  </si>
  <si>
    <t xml:space="preserve">Overdue temporary returns</t>
  </si>
  <si>
    <t xml:space="preserve">Issue as Temporary with a past return date › Handovers › Overdue returns tab.</t>
  </si>
  <si>
    <t xml:space="preserve">Listed in red; counted on the dashboard.</t>
  </si>
  <si>
    <t xml:space="preserve">UI-11</t>
  </si>
  <si>
    <t xml:space="preserve">Employee view</t>
  </si>
  <si>
    <t xml:space="preserve">Employee Assets › select an employee.</t>
  </si>
  <si>
    <t xml:space="preserve">All assets held, with handover numbers and acknowledgement status.</t>
  </si>
  <si>
    <t xml:space="preserve">UI-12</t>
  </si>
  <si>
    <t xml:space="preserve">Asset history trail</t>
  </si>
  <si>
    <t xml:space="preserve">Open any asset › History &amp; comments.</t>
  </si>
  <si>
    <t xml:space="preserve">Every change shows who, when, what changed (from → to) and the comment.</t>
  </si>
  <si>
    <t xml:space="preserve">Audit</t>
  </si>
  <si>
    <t xml:space="preserve">UI-13</t>
  </si>
  <si>
    <t xml:space="preserve">Location mismatch &amp; apply</t>
  </si>
  <si>
    <t xml:space="preserve">Scan an asset at a different location; Complete with 'update locations'.</t>
  </si>
  <si>
    <t xml:space="preserve">Marked Location mismatch; register location corrected and logged.</t>
  </si>
  <si>
    <t xml:space="preserve">UI-14</t>
  </si>
  <si>
    <t xml:space="preserve">Warranty coverage tabs</t>
  </si>
  <si>
    <t xml:space="preserve">Contracts &amp; AMC › Warranty coverage › At risk / Expiring / Expired / Covered / Not recorded.</t>
  </si>
  <si>
    <t xml:space="preserve">Each tab lists the right assets; Export works.</t>
  </si>
  <si>
    <t xml:space="preserve">UI-15</t>
  </si>
  <si>
    <t xml:space="preserve">Add / remove covered assets</t>
  </si>
  <si>
    <t xml:space="preserve">Open a contract › Add assets / remove one.</t>
  </si>
  <si>
    <t xml:space="preserve">Coverage updates; each asset's history shows the change.</t>
  </si>
  <si>
    <t xml:space="preserve">UI-16</t>
  </si>
  <si>
    <t xml:space="preserve">FY selector</t>
  </si>
  <si>
    <t xml:space="preserve">Depreciation › Register › switch FY.</t>
  </si>
  <si>
    <t xml:space="preserve">Figures change per FY; current FY shows 'year to date'.</t>
  </si>
  <si>
    <t xml:space="preserve">UI-17</t>
  </si>
  <si>
    <t xml:space="preserve">Rule change recalculates</t>
  </si>
  <si>
    <t xml:space="preserve">Rules › change Laptop to 4 years › Save.</t>
  </si>
  <si>
    <t xml:space="preserve">Confirmation shown; register and book values recalculate.</t>
  </si>
  <si>
    <t xml:space="preserve">UI-18</t>
  </si>
  <si>
    <t xml:space="preserve">Compliance report export</t>
  </si>
  <si>
    <t xml:space="preserve">Licenses › Compliance › Export report.</t>
  </si>
  <si>
    <t xml:space="preserve">CSV with entitlement, use, shortfall, exposure, unused spend.</t>
  </si>
  <si>
    <t xml:space="preserve">UI-19</t>
  </si>
  <si>
    <t xml:space="preserve">Seat utilisation bars</t>
  </si>
  <si>
    <t xml:space="preserve">Licenses list.</t>
  </si>
  <si>
    <t xml:space="preserve">Bars red when short, amber ≥ 90 %, numbers match seats.</t>
  </si>
  <si>
    <t xml:space="preserve">Low</t>
  </si>
  <si>
    <t xml:space="preserve">UI-20</t>
  </si>
  <si>
    <t xml:space="preserve">Tiles and drill-down</t>
  </si>
  <si>
    <t xml:space="preserve">Dashboard › click each tile and list row.</t>
  </si>
  <si>
    <t xml:space="preserve">Opens the matching page/tab with the same numbers.</t>
  </si>
  <si>
    <t xml:space="preserve">UI-21</t>
  </si>
  <si>
    <t xml:space="preserve">Empty state</t>
  </si>
  <si>
    <t xml:space="preserve">Fresh database with no assets.</t>
  </si>
  <si>
    <t xml:space="preserve">Friendly 'No assets yet' with a link to Asset Registry.</t>
  </si>
  <si>
    <t xml:space="preserve">UI-22</t>
  </si>
  <si>
    <t xml:space="preserve">Asset masters</t>
  </si>
  <si>
    <t xml:space="preserve">Admin › Master Data › IT Asset Management.</t>
  </si>
  <si>
    <t xml:space="preserve">Asset type, status, license type/status, location, OS, contract type lists populated and editable.</t>
  </si>
  <si>
    <t xml:space="preserve">UI-23</t>
  </si>
  <si>
    <t xml:space="preserve">Local roles include new modules</t>
  </si>
  <si>
    <t xml:space="preserve">Admin › Roles &amp; Permissions.</t>
  </si>
  <si>
    <t xml:space="preserve">Contracts, Depreciation, Physical Audit appear as separate modules.</t>
  </si>
  <si>
    <t xml:space="preserve">UI-24</t>
  </si>
  <si>
    <t xml:space="preserve">Mobile layout</t>
  </si>
  <si>
    <t xml:space="preserve">Open Dashboard, Registry, Scan on a phone (≈ 400 px wide).</t>
  </si>
  <si>
    <t xml:space="preserve">No horizontal scroll; menu opens as overlay; tables scroll inside cards.</t>
  </si>
  <si>
    <t xml:space="preserve">UI-25</t>
  </si>
  <si>
    <t xml:space="preserve">Dark mode</t>
  </si>
  <si>
    <t xml:space="preserve">Toggle dark mode on each asset page.</t>
  </si>
  <si>
    <t xml:space="preserve">Text and pills readable; no white blocks.</t>
  </si>
  <si>
    <t xml:space="preserve">UI-26</t>
  </si>
  <si>
    <t xml:space="preserve">Microsoft 365 staff sign-in</t>
  </si>
  <si>
    <t xml:space="preserve">Portal › Sign in with Microsoft (staff account with M365-enabled role).</t>
  </si>
  <si>
    <t xml:space="preserve">Entra MFA prompt; lands in IT Hub with the Portal role's access.</t>
  </si>
  <si>
    <t xml:space="preserve">UI-27</t>
  </si>
  <si>
    <t xml:space="preserve">Partner sign-in with OTP</t>
  </si>
  <si>
    <t xml:space="preserve">Portal password + email/SMS OTP for an external partner role.</t>
  </si>
  <si>
    <t xml:space="preserve">Lands in IT Hub after OTP; no second MFA in IT Hub.</t>
  </si>
  <si>
    <t xml:space="preserve">UI-28</t>
  </si>
  <si>
    <t xml:space="preserve">Session ended message</t>
  </si>
  <si>
    <t xml:space="preserve">Disable the user in the Portal while they are on a page; click anything.</t>
  </si>
  <si>
    <t xml:space="preserve">Redirected to login with 'Your session was ended by the Ashika Portal'.</t>
  </si>
  <si>
    <t xml:space="preserve">UI-29</t>
  </si>
  <si>
    <t xml:space="preserve">Session expiry (8 h)</t>
  </si>
  <si>
    <t xml:space="preserve">Stay signed in beyond the Portal token lifetime.</t>
  </si>
  <si>
    <t xml:space="preserve">Asked to sign in again.</t>
  </si>
  <si>
    <t xml:space="preserve">UI-30</t>
  </si>
  <si>
    <t xml:space="preserve">Large register</t>
  </si>
  <si>
    <t xml:space="preserve">Upload 2,000+ assets; open Registry, Dashboard, Depreciation.</t>
  </si>
  <si>
    <t xml:space="preserve">Pages load within 3 seconds.</t>
  </si>
  <si>
    <t xml:space="preserve">Ashika Portal — IT Hub registration (sso_apps)</t>
  </si>
  <si>
    <t xml:space="preserve">client_id</t>
  </si>
  <si>
    <t xml:space="preserve">it-hub</t>
  </si>
  <si>
    <t xml:space="preserve">redirect_uris</t>
  </si>
  <si>
    <t xml:space="preserve">https://ithub-uat.niytri.com/api/auth/central/callback</t>
  </si>
  <si>
    <t xml:space="preserve">client_secret</t>
  </si>
  <si>
    <t xml:space="preserve">Generated by the Portal admin; given to the IT Hub server admin privately (never by email/chat)</t>
  </si>
  <si>
    <t xml:space="preserve">allowed_roles</t>
  </si>
  <si>
    <t xml:space="preserve">Optional — leave blank and control access through role_applications</t>
  </si>
  <si>
    <t xml:space="preserve">application</t>
  </si>
  <si>
    <t xml:space="preserve">Tag IT Hub roles to the 'IT Hub' application (role_applications)</t>
  </si>
  <si>
    <t xml:space="preserve">Page keys used by IT Hub (put these in the Portal role's pages / access)</t>
  </si>
  <si>
    <t xml:space="preserve">Page key</t>
  </si>
  <si>
    <t xml:space="preserve">IT Hub screen</t>
  </si>
  <si>
    <t xml:space="preserve">'view' allows</t>
  </si>
  <si>
    <t xml:space="preserve">'edit' allows</t>
  </si>
  <si>
    <t xml:space="preserve">assets</t>
  </si>
  <si>
    <t xml:space="preserve">IT Assets › Asset Dashboard</t>
  </si>
  <si>
    <t xml:space="preserve">Dashboard</t>
  </si>
  <si>
    <t xml:space="preserve">—</t>
  </si>
  <si>
    <t xml:space="preserve">asset_registry</t>
  </si>
  <si>
    <t xml:space="preserve">Asset Registry, QR stickers, asset history</t>
  </si>
  <si>
    <t xml:space="preserve">View assets, coverage, history</t>
  </si>
  <si>
    <t xml:space="preserve">Add / edit / upload / lifecycle (maintenance, retire, dispose), finance upload, comments</t>
  </si>
  <si>
    <t xml:space="preserve">asset_allocations</t>
  </si>
  <si>
    <t xml:space="preserve">Handovers, Employee Assets</t>
  </si>
  <si>
    <t xml:space="preserve">View handovers</t>
  </si>
  <si>
    <t xml:space="preserve">Issue, bulk issue, return, record acknowledgement</t>
  </si>
  <si>
    <t xml:space="preserve">asset_contracts</t>
  </si>
  <si>
    <t xml:space="preserve">Contracts, AMC &amp; Warranty</t>
  </si>
  <si>
    <t xml:space="preserve">View contracts and warranty coverage</t>
  </si>
  <si>
    <t xml:space="preserve">Create / edit / renew / delete contracts, add or remove covered assets</t>
  </si>
  <si>
    <t xml:space="preserve">asset_depreciation</t>
  </si>
  <si>
    <t xml:space="preserve">View register and schedules</t>
  </si>
  <si>
    <t xml:space="preserve">Change depreciation rules</t>
  </si>
  <si>
    <t xml:space="preserve">asset_licenses</t>
  </si>
  <si>
    <t xml:space="preserve">Software Licenses &amp; Compliance</t>
  </si>
  <si>
    <t xml:space="preserve">View licenses and compliance</t>
  </si>
  <si>
    <t xml:space="preserve">Add / edit licenses, assign and revoke seats</t>
  </si>
  <si>
    <t xml:space="preserve">asset_vendors</t>
  </si>
  <si>
    <t xml:space="preserve">View vendors</t>
  </si>
  <si>
    <t xml:space="preserve">Add / edit / delete vendors</t>
  </si>
  <si>
    <t xml:space="preserve">asset_audits</t>
  </si>
  <si>
    <t xml:space="preserve">View audits and reports</t>
  </si>
  <si>
    <t xml:space="preserve">Plan, start, scan, complete, cancel audits</t>
  </si>
  <si>
    <t xml:space="preserve">pages: ["*"]</t>
  </si>
  <si>
    <t xml:space="preserve">Full access</t>
  </si>
  <si>
    <t xml:space="preserve">Everything</t>
  </si>
  <si>
    <t xml:space="preserve">Everything incl. Admin, Clear All Data</t>
  </si>
  <si>
    <t xml:space="preserve">Suggested Portal roles for IT Hub</t>
  </si>
  <si>
    <t xml:space="preserve">Role</t>
  </si>
  <si>
    <t xml:space="preserve">pages</t>
  </si>
  <si>
    <t xml:space="preserve">access</t>
  </si>
  <si>
    <t xml:space="preserve">Use</t>
  </si>
  <si>
    <t xml:space="preserve">IT Hub Admin</t>
  </si>
  <si>
    <t xml:space="preserve">["*"]</t>
  </si>
  <si>
    <t xml:space="preserve">IT head / application admin</t>
  </si>
  <si>
    <t xml:space="preserve">IT Asset Manager</t>
  </si>
  <si>
    <t xml:space="preserve">["assets","asset_registry","asset_allocations","asset_contracts","asset_licenses","asset_vendors","asset_audits","asset_depreciation"]</t>
  </si>
  <si>
    <t xml:space="preserve">all "edit" except asset_depreciation "view"</t>
  </si>
  <si>
    <t xml:space="preserve">Runs the asset desk</t>
  </si>
  <si>
    <t xml:space="preserve">Asset Auditor</t>
  </si>
  <si>
    <t xml:space="preserve">["assets","asset_registry","asset_audits"]</t>
  </si>
  <si>
    <t xml:space="preserve">asset_audits "edit"; others "view"</t>
  </si>
  <si>
    <t xml:space="preserve">Physical verification team</t>
  </si>
  <si>
    <t xml:space="preserve">Finance (Assets)</t>
  </si>
  <si>
    <t xml:space="preserve">["assets","asset_registry","asset_depreciation","asset_contracts"]</t>
  </si>
  <si>
    <t xml:space="preserve">asset_depreciation "edit"; others "view"</t>
  </si>
  <si>
    <t xml:space="preserve">Fixed-asset register, AMC spend</t>
  </si>
  <si>
    <t xml:space="preserve">Asset Viewer</t>
  </si>
  <si>
    <t xml:space="preserve">["assets","asset_registry"]</t>
  </si>
  <si>
    <t xml:space="preserve">"view"</t>
  </si>
  <si>
    <t xml:space="preserve">Management / auditors (read-only)</t>
  </si>
  <si>
    <t xml:space="preserve">Every employee can always open My Assets and acknowledge their own handovers; no page key needed.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</si>
</sst>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9E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4E9E"/>
      <name val="Arial"/>
      <family val="0"/>
      <charset val="1"/>
    </font>
    <font>
      <b val="true"/>
      <sz val="12"/>
      <color rgb="FF1F4E9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9E"/>
        <bgColor rgb="FF0066CC"/>
      </patternFill>
    </fill>
    <fill>
      <patternFill patternType="solid">
        <fgColor rgb="FFEAF1FB"/>
        <bgColor rgb="FFD9F2E3"/>
      </patternFill>
    </fill>
    <fill>
      <patternFill patternType="solid">
        <fgColor rgb="FFFFF9DB"/>
        <bgColor rgb="FFFFF0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E3"/>
      </left>
      <right style="thin">
        <color rgb="FFC9D3E3"/>
      </right>
      <top style="thin">
        <color rgb="FFC9D3E3"/>
      </top>
      <bottom style="thin">
        <color rgb="FFC9D3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9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2E3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>
          <bgColor rgb="FFD9F2E3"/>
        </patternFill>
      </fill>
    </dxf>
    <dxf>
      <fill>
        <patternFill>
          <bgColor rgb="FFFBE0E0"/>
        </patternFill>
      </fill>
    </dxf>
    <dxf>
      <fill>
        <patternFill>
          <bgColor rgb="FFFFF0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EAF1FB"/>
      <rgbColor rgb="FF660066"/>
      <rgbColor rgb="FFFF8080"/>
      <rgbColor rgb="FF0066CC"/>
      <rgbColor rgb="FFC9D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E3"/>
      <rgbColor rgb="FFFFF0CC"/>
      <rgbColor rgb="FF99CCFF"/>
      <rgbColor rgb="FFFF99CC"/>
      <rgbColor rgb="FFCC99FF"/>
      <rgbColor rgb="FFFBE0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9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6"/>
    <col collapsed="false" customWidth="true" hidden="false" outlineLevel="0" max="9" min="3" style="0" width="1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10" customFormat="false" ht="23.85" hidden="false" customHeight="false" outlineLevel="0" collapsed="false">
      <c r="A10" s="4" t="s">
        <v>11</v>
      </c>
      <c r="B10" s="4" t="s">
        <v>12</v>
      </c>
      <c r="C10" s="4" t="s">
        <v>13</v>
      </c>
      <c r="D10" s="4" t="s">
        <v>14</v>
      </c>
      <c r="E10" s="4" t="s">
        <v>15</v>
      </c>
      <c r="F10" s="4" t="s">
        <v>16</v>
      </c>
      <c r="G10" s="4" t="s">
        <v>17</v>
      </c>
      <c r="H10" s="4" t="s">
        <v>18</v>
      </c>
      <c r="I10" s="4" t="s">
        <v>19</v>
      </c>
    </row>
    <row r="11" customFormat="false" ht="15" hidden="false" customHeight="false" outlineLevel="0" collapsed="false">
      <c r="A11" s="5" t="s">
        <v>20</v>
      </c>
      <c r="B11" s="5" t="s">
        <v>21</v>
      </c>
      <c r="C11" s="6" t="n">
        <f aca="false">COUNTIFS('Test Cases'!$B$2:$B$106,$A11,'Test Cases'!$C$2:$C$106,$B11)</f>
        <v>12</v>
      </c>
      <c r="D11" s="6" t="n">
        <f aca="false">COUNTIFS('Test Cases'!$B$2:$B$106,$A11,'Test Cases'!$C$2:$C$106,$B11,'Test Cases'!$J$2:$J$106,"Pass")</f>
        <v>8</v>
      </c>
      <c r="E11" s="6" t="n">
        <f aca="false">COUNTIFS('Test Cases'!$B$2:$B$106,$A11,'Test Cases'!$C$2:$C$106,$B11,'Test Cases'!$J$2:$J$106,"Fail")</f>
        <v>0</v>
      </c>
      <c r="F11" s="6" t="n">
        <f aca="false">COUNTIFS('Test Cases'!$B$2:$B$106,$A11,'Test Cases'!$C$2:$C$106,$B11,'Test Cases'!$J$2:$J$106,"Manual (UAT)")</f>
        <v>4</v>
      </c>
      <c r="G11" s="6" t="n">
        <f aca="false">COUNTIFS('Test Cases'!$B$2:$B$106,$A11,'Test Cases'!$C$2:$C$106,$B11,'Test Cases'!$L$2:$L$106,"Pass")</f>
        <v>0</v>
      </c>
      <c r="H11" s="6" t="n">
        <f aca="false">COUNTIFS('Test Cases'!$B$2:$B$106,$A11,'Test Cases'!$C$2:$C$106,$B11,'Test Cases'!$L$2:$L$106,"Fail")</f>
        <v>0</v>
      </c>
      <c r="I11" s="6" t="n">
        <f aca="false">C11-G11-H11</f>
        <v>12</v>
      </c>
    </row>
    <row r="12" customFormat="false" ht="15" hidden="false" customHeight="false" outlineLevel="0" collapsed="false">
      <c r="A12" s="5" t="s">
        <v>20</v>
      </c>
      <c r="B12" s="5" t="s">
        <v>22</v>
      </c>
      <c r="C12" s="6" t="n">
        <f aca="false">COUNTIFS('Test Cases'!$B$2:$B$106,$A12,'Test Cases'!$C$2:$C$106,$B12)</f>
        <v>3</v>
      </c>
      <c r="D12" s="6" t="n">
        <f aca="false">COUNTIFS('Test Cases'!$B$2:$B$106,$A12,'Test Cases'!$C$2:$C$106,$B12,'Test Cases'!$J$2:$J$106,"Pass")</f>
        <v>2</v>
      </c>
      <c r="E12" s="6" t="n">
        <f aca="false">COUNTIFS('Test Cases'!$B$2:$B$106,$A12,'Test Cases'!$C$2:$C$106,$B12,'Test Cases'!$J$2:$J$106,"Fail")</f>
        <v>0</v>
      </c>
      <c r="F12" s="6" t="n">
        <f aca="false">COUNTIFS('Test Cases'!$B$2:$B$106,$A12,'Test Cases'!$C$2:$C$106,$B12,'Test Cases'!$J$2:$J$106,"Manual (UAT)")</f>
        <v>1</v>
      </c>
      <c r="G12" s="6" t="n">
        <f aca="false">COUNTIFS('Test Cases'!$B$2:$B$106,$A12,'Test Cases'!$C$2:$C$106,$B12,'Test Cases'!$L$2:$L$106,"Pass")</f>
        <v>0</v>
      </c>
      <c r="H12" s="6" t="n">
        <f aca="false">COUNTIFS('Test Cases'!$B$2:$B$106,$A12,'Test Cases'!$C$2:$C$106,$B12,'Test Cases'!$L$2:$L$106,"Fail")</f>
        <v>0</v>
      </c>
      <c r="I12" s="6" t="n">
        <f aca="false">C12-G12-H12</f>
        <v>3</v>
      </c>
    </row>
    <row r="13" customFormat="false" ht="15" hidden="false" customHeight="false" outlineLevel="0" collapsed="false">
      <c r="A13" s="5" t="s">
        <v>20</v>
      </c>
      <c r="B13" s="5" t="s">
        <v>23</v>
      </c>
      <c r="C13" s="6" t="n">
        <f aca="false">COUNTIFS('Test Cases'!$B$2:$B$106,$A13,'Test Cases'!$C$2:$C$106,$B13)</f>
        <v>8</v>
      </c>
      <c r="D13" s="6" t="n">
        <f aca="false">COUNTIFS('Test Cases'!$B$2:$B$106,$A13,'Test Cases'!$C$2:$C$106,$B13,'Test Cases'!$J$2:$J$106,"Pass")</f>
        <v>6</v>
      </c>
      <c r="E13" s="6" t="n">
        <f aca="false">COUNTIFS('Test Cases'!$B$2:$B$106,$A13,'Test Cases'!$C$2:$C$106,$B13,'Test Cases'!$J$2:$J$106,"Fail")</f>
        <v>0</v>
      </c>
      <c r="F13" s="6" t="n">
        <f aca="false">COUNTIFS('Test Cases'!$B$2:$B$106,$A13,'Test Cases'!$C$2:$C$106,$B13,'Test Cases'!$J$2:$J$106,"Manual (UAT)")</f>
        <v>2</v>
      </c>
      <c r="G13" s="6" t="n">
        <f aca="false">COUNTIFS('Test Cases'!$B$2:$B$106,$A13,'Test Cases'!$C$2:$C$106,$B13,'Test Cases'!$L$2:$L$106,"Pass")</f>
        <v>0</v>
      </c>
      <c r="H13" s="6" t="n">
        <f aca="false">COUNTIFS('Test Cases'!$B$2:$B$106,$A13,'Test Cases'!$C$2:$C$106,$B13,'Test Cases'!$L$2:$L$106,"Fail")</f>
        <v>0</v>
      </c>
      <c r="I13" s="6" t="n">
        <f aca="false">C13-G13-H13</f>
        <v>8</v>
      </c>
    </row>
    <row r="14" customFormat="false" ht="15" hidden="false" customHeight="false" outlineLevel="0" collapsed="false">
      <c r="A14" s="5" t="s">
        <v>20</v>
      </c>
      <c r="B14" s="5" t="s">
        <v>24</v>
      </c>
      <c r="C14" s="6" t="n">
        <f aca="false">COUNTIFS('Test Cases'!$B$2:$B$106,$A14,'Test Cases'!$C$2:$C$106,$B14)</f>
        <v>4</v>
      </c>
      <c r="D14" s="6" t="n">
        <f aca="false">COUNTIFS('Test Cases'!$B$2:$B$106,$A14,'Test Cases'!$C$2:$C$106,$B14,'Test Cases'!$J$2:$J$106,"Pass")</f>
        <v>4</v>
      </c>
      <c r="E14" s="6" t="n">
        <f aca="false">COUNTIFS('Test Cases'!$B$2:$B$106,$A14,'Test Cases'!$C$2:$C$106,$B14,'Test Cases'!$J$2:$J$106,"Fail")</f>
        <v>0</v>
      </c>
      <c r="F14" s="6" t="n">
        <f aca="false">COUNTIFS('Test Cases'!$B$2:$B$106,$A14,'Test Cases'!$C$2:$C$106,$B14,'Test Cases'!$J$2:$J$106,"Manual (UAT)")</f>
        <v>0</v>
      </c>
      <c r="G14" s="6" t="n">
        <f aca="false">COUNTIFS('Test Cases'!$B$2:$B$106,$A14,'Test Cases'!$C$2:$C$106,$B14,'Test Cases'!$L$2:$L$106,"Pass")</f>
        <v>0</v>
      </c>
      <c r="H14" s="6" t="n">
        <f aca="false">COUNTIFS('Test Cases'!$B$2:$B$106,$A14,'Test Cases'!$C$2:$C$106,$B14,'Test Cases'!$L$2:$L$106,"Fail")</f>
        <v>0</v>
      </c>
      <c r="I14" s="6" t="n">
        <f aca="false">C14-G14-H14</f>
        <v>4</v>
      </c>
    </row>
    <row r="15" customFormat="false" ht="15" hidden="false" customHeight="false" outlineLevel="0" collapsed="false">
      <c r="A15" s="5" t="s">
        <v>20</v>
      </c>
      <c r="B15" s="5" t="s">
        <v>25</v>
      </c>
      <c r="C15" s="6" t="n">
        <f aca="false">COUNTIFS('Test Cases'!$B$2:$B$106,$A15,'Test Cases'!$C$2:$C$106,$B15)</f>
        <v>1</v>
      </c>
      <c r="D15" s="6" t="n">
        <f aca="false">COUNTIFS('Test Cases'!$B$2:$B$106,$A15,'Test Cases'!$C$2:$C$106,$B15,'Test Cases'!$J$2:$J$106,"Pass")</f>
        <v>1</v>
      </c>
      <c r="E15" s="6" t="n">
        <f aca="false">COUNTIFS('Test Cases'!$B$2:$B$106,$A15,'Test Cases'!$C$2:$C$106,$B15,'Test Cases'!$J$2:$J$106,"Fail")</f>
        <v>0</v>
      </c>
      <c r="F15" s="6" t="n">
        <f aca="false">COUNTIFS('Test Cases'!$B$2:$B$106,$A15,'Test Cases'!$C$2:$C$106,$B15,'Test Cases'!$J$2:$J$106,"Manual (UAT)")</f>
        <v>0</v>
      </c>
      <c r="G15" s="6" t="n">
        <f aca="false">COUNTIFS('Test Cases'!$B$2:$B$106,$A15,'Test Cases'!$C$2:$C$106,$B15,'Test Cases'!$L$2:$L$106,"Pass")</f>
        <v>0</v>
      </c>
      <c r="H15" s="6" t="n">
        <f aca="false">COUNTIFS('Test Cases'!$B$2:$B$106,$A15,'Test Cases'!$C$2:$C$106,$B15,'Test Cases'!$L$2:$L$106,"Fail")</f>
        <v>0</v>
      </c>
      <c r="I15" s="6" t="n">
        <f aca="false">C15-G15-H15</f>
        <v>1</v>
      </c>
    </row>
    <row r="16" customFormat="false" ht="15" hidden="false" customHeight="false" outlineLevel="0" collapsed="false">
      <c r="A16" s="5" t="s">
        <v>20</v>
      </c>
      <c r="B16" s="5" t="s">
        <v>26</v>
      </c>
      <c r="C16" s="6" t="n">
        <f aca="false">COUNTIFS('Test Cases'!$B$2:$B$106,$A16,'Test Cases'!$C$2:$C$106,$B16)</f>
        <v>5</v>
      </c>
      <c r="D16" s="6" t="n">
        <f aca="false">COUNTIFS('Test Cases'!$B$2:$B$106,$A16,'Test Cases'!$C$2:$C$106,$B16,'Test Cases'!$J$2:$J$106,"Pass")</f>
        <v>4</v>
      </c>
      <c r="E16" s="6" t="n">
        <f aca="false">COUNTIFS('Test Cases'!$B$2:$B$106,$A16,'Test Cases'!$C$2:$C$106,$B16,'Test Cases'!$J$2:$J$106,"Fail")</f>
        <v>0</v>
      </c>
      <c r="F16" s="6" t="n">
        <f aca="false">COUNTIFS('Test Cases'!$B$2:$B$106,$A16,'Test Cases'!$C$2:$C$106,$B16,'Test Cases'!$J$2:$J$106,"Manual (UAT)")</f>
        <v>1</v>
      </c>
      <c r="G16" s="6" t="n">
        <f aca="false">COUNTIFS('Test Cases'!$B$2:$B$106,$A16,'Test Cases'!$C$2:$C$106,$B16,'Test Cases'!$L$2:$L$106,"Pass")</f>
        <v>0</v>
      </c>
      <c r="H16" s="6" t="n">
        <f aca="false">COUNTIFS('Test Cases'!$B$2:$B$106,$A16,'Test Cases'!$C$2:$C$106,$B16,'Test Cases'!$L$2:$L$106,"Fail")</f>
        <v>0</v>
      </c>
      <c r="I16" s="6" t="n">
        <f aca="false">C16-G16-H16</f>
        <v>5</v>
      </c>
    </row>
    <row r="17" customFormat="false" ht="15" hidden="false" customHeight="false" outlineLevel="0" collapsed="false">
      <c r="A17" s="5" t="s">
        <v>20</v>
      </c>
      <c r="B17" s="5" t="s">
        <v>27</v>
      </c>
      <c r="C17" s="6" t="n">
        <f aca="false">COUNTIFS('Test Cases'!$B$2:$B$106,$A17,'Test Cases'!$C$2:$C$106,$B17)</f>
        <v>7</v>
      </c>
      <c r="D17" s="6" t="n">
        <f aca="false">COUNTIFS('Test Cases'!$B$2:$B$106,$A17,'Test Cases'!$C$2:$C$106,$B17,'Test Cases'!$J$2:$J$106,"Pass")</f>
        <v>5</v>
      </c>
      <c r="E17" s="6" t="n">
        <f aca="false">COUNTIFS('Test Cases'!$B$2:$B$106,$A17,'Test Cases'!$C$2:$C$106,$B17,'Test Cases'!$J$2:$J$106,"Fail")</f>
        <v>0</v>
      </c>
      <c r="F17" s="6" t="n">
        <f aca="false">COUNTIFS('Test Cases'!$B$2:$B$106,$A17,'Test Cases'!$C$2:$C$106,$B17,'Test Cases'!$J$2:$J$106,"Manual (UAT)")</f>
        <v>2</v>
      </c>
      <c r="G17" s="6" t="n">
        <f aca="false">COUNTIFS('Test Cases'!$B$2:$B$106,$A17,'Test Cases'!$C$2:$C$106,$B17,'Test Cases'!$L$2:$L$106,"Pass")</f>
        <v>0</v>
      </c>
      <c r="H17" s="6" t="n">
        <f aca="false">COUNTIFS('Test Cases'!$B$2:$B$106,$A17,'Test Cases'!$C$2:$C$106,$B17,'Test Cases'!$L$2:$L$106,"Fail")</f>
        <v>0</v>
      </c>
      <c r="I17" s="6" t="n">
        <f aca="false">C17-G17-H17</f>
        <v>7</v>
      </c>
    </row>
    <row r="18" customFormat="false" ht="15" hidden="false" customHeight="false" outlineLevel="0" collapsed="false">
      <c r="A18" s="5" t="s">
        <v>20</v>
      </c>
      <c r="B18" s="5" t="s">
        <v>28</v>
      </c>
      <c r="C18" s="6" t="n">
        <f aca="false">COUNTIFS('Test Cases'!$B$2:$B$106,$A18,'Test Cases'!$C$2:$C$106,$B18)</f>
        <v>9</v>
      </c>
      <c r="D18" s="6" t="n">
        <f aca="false">COUNTIFS('Test Cases'!$B$2:$B$106,$A18,'Test Cases'!$C$2:$C$106,$B18,'Test Cases'!$J$2:$J$106,"Pass")</f>
        <v>7</v>
      </c>
      <c r="E18" s="6" t="n">
        <f aca="false">COUNTIFS('Test Cases'!$B$2:$B$106,$A18,'Test Cases'!$C$2:$C$106,$B18,'Test Cases'!$J$2:$J$106,"Fail")</f>
        <v>0</v>
      </c>
      <c r="F18" s="6" t="n">
        <f aca="false">COUNTIFS('Test Cases'!$B$2:$B$106,$A18,'Test Cases'!$C$2:$C$106,$B18,'Test Cases'!$J$2:$J$106,"Manual (UAT)")</f>
        <v>2</v>
      </c>
      <c r="G18" s="6" t="n">
        <f aca="false">COUNTIFS('Test Cases'!$B$2:$B$106,$A18,'Test Cases'!$C$2:$C$106,$B18,'Test Cases'!$L$2:$L$106,"Pass")</f>
        <v>0</v>
      </c>
      <c r="H18" s="6" t="n">
        <f aca="false">COUNTIFS('Test Cases'!$B$2:$B$106,$A18,'Test Cases'!$C$2:$C$106,$B18,'Test Cases'!$L$2:$L$106,"Fail")</f>
        <v>0</v>
      </c>
      <c r="I18" s="6" t="n">
        <f aca="false">C18-G18-H18</f>
        <v>9</v>
      </c>
    </row>
    <row r="19" customFormat="false" ht="15" hidden="false" customHeight="false" outlineLevel="0" collapsed="false">
      <c r="A19" s="5" t="s">
        <v>20</v>
      </c>
      <c r="B19" s="5" t="s">
        <v>29</v>
      </c>
      <c r="C19" s="6" t="n">
        <f aca="false">COUNTIFS('Test Cases'!$B$2:$B$106,$A19,'Test Cases'!$C$2:$C$106,$B19)</f>
        <v>11</v>
      </c>
      <c r="D19" s="6" t="n">
        <f aca="false">COUNTIFS('Test Cases'!$B$2:$B$106,$A19,'Test Cases'!$C$2:$C$106,$B19,'Test Cases'!$J$2:$J$106,"Pass")</f>
        <v>9</v>
      </c>
      <c r="E19" s="6" t="n">
        <f aca="false">COUNTIFS('Test Cases'!$B$2:$B$106,$A19,'Test Cases'!$C$2:$C$106,$B19,'Test Cases'!$J$2:$J$106,"Fail")</f>
        <v>0</v>
      </c>
      <c r="F19" s="6" t="n">
        <f aca="false">COUNTIFS('Test Cases'!$B$2:$B$106,$A19,'Test Cases'!$C$2:$C$106,$B19,'Test Cases'!$J$2:$J$106,"Manual (UAT)")</f>
        <v>2</v>
      </c>
      <c r="G19" s="6" t="n">
        <f aca="false">COUNTIFS('Test Cases'!$B$2:$B$106,$A19,'Test Cases'!$C$2:$C$106,$B19,'Test Cases'!$L$2:$L$106,"Pass")</f>
        <v>0</v>
      </c>
      <c r="H19" s="6" t="n">
        <f aca="false">COUNTIFS('Test Cases'!$B$2:$B$106,$A19,'Test Cases'!$C$2:$C$106,$B19,'Test Cases'!$L$2:$L$106,"Fail")</f>
        <v>0</v>
      </c>
      <c r="I19" s="6" t="n">
        <f aca="false">C19-G19-H19</f>
        <v>11</v>
      </c>
    </row>
    <row r="20" customFormat="false" ht="15" hidden="false" customHeight="false" outlineLevel="0" collapsed="false">
      <c r="A20" s="5" t="s">
        <v>20</v>
      </c>
      <c r="B20" s="5" t="s">
        <v>30</v>
      </c>
      <c r="C20" s="6" t="n">
        <f aca="false">COUNTIFS('Test Cases'!$B$2:$B$106,$A20,'Test Cases'!$C$2:$C$106,$B20)</f>
        <v>1</v>
      </c>
      <c r="D20" s="6" t="n">
        <f aca="false">COUNTIFS('Test Cases'!$B$2:$B$106,$A20,'Test Cases'!$C$2:$C$106,$B20,'Test Cases'!$J$2:$J$106,"Pass")</f>
        <v>1</v>
      </c>
      <c r="E20" s="6" t="n">
        <f aca="false">COUNTIFS('Test Cases'!$B$2:$B$106,$A20,'Test Cases'!$C$2:$C$106,$B20,'Test Cases'!$J$2:$J$106,"Fail")</f>
        <v>0</v>
      </c>
      <c r="F20" s="6" t="n">
        <f aca="false">COUNTIFS('Test Cases'!$B$2:$B$106,$A20,'Test Cases'!$C$2:$C$106,$B20,'Test Cases'!$J$2:$J$106,"Manual (UAT)")</f>
        <v>0</v>
      </c>
      <c r="G20" s="6" t="n">
        <f aca="false">COUNTIFS('Test Cases'!$B$2:$B$106,$A20,'Test Cases'!$C$2:$C$106,$B20,'Test Cases'!$L$2:$L$106,"Pass")</f>
        <v>0</v>
      </c>
      <c r="H20" s="6" t="n">
        <f aca="false">COUNTIFS('Test Cases'!$B$2:$B$106,$A20,'Test Cases'!$C$2:$C$106,$B20,'Test Cases'!$L$2:$L$106,"Fail")</f>
        <v>0</v>
      </c>
      <c r="I20" s="6" t="n">
        <f aca="false">C20-G20-H20</f>
        <v>1</v>
      </c>
    </row>
    <row r="21" customFormat="false" ht="15" hidden="false" customHeight="false" outlineLevel="0" collapsed="false">
      <c r="A21" s="5" t="s">
        <v>20</v>
      </c>
      <c r="B21" s="5" t="s">
        <v>31</v>
      </c>
      <c r="C21" s="6" t="n">
        <f aca="false">COUNTIFS('Test Cases'!$B$2:$B$106,$A21,'Test Cases'!$C$2:$C$106,$B21)</f>
        <v>4</v>
      </c>
      <c r="D21" s="6" t="n">
        <f aca="false">COUNTIFS('Test Cases'!$B$2:$B$106,$A21,'Test Cases'!$C$2:$C$106,$B21,'Test Cases'!$J$2:$J$106,"Pass")</f>
        <v>2</v>
      </c>
      <c r="E21" s="6" t="n">
        <f aca="false">COUNTIFS('Test Cases'!$B$2:$B$106,$A21,'Test Cases'!$C$2:$C$106,$B21,'Test Cases'!$J$2:$J$106,"Fail")</f>
        <v>0</v>
      </c>
      <c r="F21" s="6" t="n">
        <f aca="false">COUNTIFS('Test Cases'!$B$2:$B$106,$A21,'Test Cases'!$C$2:$C$106,$B21,'Test Cases'!$J$2:$J$106,"Manual (UAT)")</f>
        <v>2</v>
      </c>
      <c r="G21" s="6" t="n">
        <f aca="false">COUNTIFS('Test Cases'!$B$2:$B$106,$A21,'Test Cases'!$C$2:$C$106,$B21,'Test Cases'!$L$2:$L$106,"Pass")</f>
        <v>0</v>
      </c>
      <c r="H21" s="6" t="n">
        <f aca="false">COUNTIFS('Test Cases'!$B$2:$B$106,$A21,'Test Cases'!$C$2:$C$106,$B21,'Test Cases'!$L$2:$L$106,"Fail")</f>
        <v>0</v>
      </c>
      <c r="I21" s="6" t="n">
        <f aca="false">C21-G21-H21</f>
        <v>4</v>
      </c>
    </row>
    <row r="22" customFormat="false" ht="15" hidden="false" customHeight="false" outlineLevel="0" collapsed="false">
      <c r="A22" s="5" t="s">
        <v>20</v>
      </c>
      <c r="B22" s="5" t="s">
        <v>32</v>
      </c>
      <c r="C22" s="6" t="n">
        <f aca="false">COUNTIFS('Test Cases'!$B$2:$B$106,$A22,'Test Cases'!$C$2:$C$106,$B22)</f>
        <v>3</v>
      </c>
      <c r="D22" s="6" t="n">
        <f aca="false">COUNTIFS('Test Cases'!$B$2:$B$106,$A22,'Test Cases'!$C$2:$C$106,$B22,'Test Cases'!$J$2:$J$106,"Pass")</f>
        <v>0</v>
      </c>
      <c r="E22" s="6" t="n">
        <f aca="false">COUNTIFS('Test Cases'!$B$2:$B$106,$A22,'Test Cases'!$C$2:$C$106,$B22,'Test Cases'!$J$2:$J$106,"Fail")</f>
        <v>0</v>
      </c>
      <c r="F22" s="6" t="n">
        <f aca="false">COUNTIFS('Test Cases'!$B$2:$B$106,$A22,'Test Cases'!$C$2:$C$106,$B22,'Test Cases'!$J$2:$J$106,"Manual (UAT)")</f>
        <v>3</v>
      </c>
      <c r="G22" s="6" t="n">
        <f aca="false">COUNTIFS('Test Cases'!$B$2:$B$106,$A22,'Test Cases'!$C$2:$C$106,$B22,'Test Cases'!$L$2:$L$106,"Pass")</f>
        <v>0</v>
      </c>
      <c r="H22" s="6" t="n">
        <f aca="false">COUNTIFS('Test Cases'!$B$2:$B$106,$A22,'Test Cases'!$C$2:$C$106,$B22,'Test Cases'!$L$2:$L$106,"Fail")</f>
        <v>0</v>
      </c>
      <c r="I22" s="6" t="n">
        <f aca="false">C22-G22-H22</f>
        <v>3</v>
      </c>
    </row>
    <row r="23" customFormat="false" ht="15" hidden="false" customHeight="false" outlineLevel="0" collapsed="false">
      <c r="A23" s="5" t="s">
        <v>20</v>
      </c>
      <c r="B23" s="5" t="s">
        <v>33</v>
      </c>
      <c r="C23" s="6" t="n">
        <f aca="false">COUNTIFS('Test Cases'!$B$2:$B$106,$A23,'Test Cases'!$C$2:$C$106,$B23)</f>
        <v>1</v>
      </c>
      <c r="D23" s="6" t="n">
        <f aca="false">COUNTIFS('Test Cases'!$B$2:$B$106,$A23,'Test Cases'!$C$2:$C$106,$B23,'Test Cases'!$J$2:$J$106,"Pass")</f>
        <v>0</v>
      </c>
      <c r="E23" s="6" t="n">
        <f aca="false">COUNTIFS('Test Cases'!$B$2:$B$106,$A23,'Test Cases'!$C$2:$C$106,$B23,'Test Cases'!$J$2:$J$106,"Fail")</f>
        <v>0</v>
      </c>
      <c r="F23" s="6" t="n">
        <f aca="false">COUNTIFS('Test Cases'!$B$2:$B$106,$A23,'Test Cases'!$C$2:$C$106,$B23,'Test Cases'!$J$2:$J$106,"Manual (UAT)")</f>
        <v>1</v>
      </c>
      <c r="G23" s="6" t="n">
        <f aca="false">COUNTIFS('Test Cases'!$B$2:$B$106,$A23,'Test Cases'!$C$2:$C$106,$B23,'Test Cases'!$L$2:$L$106,"Pass")</f>
        <v>0</v>
      </c>
      <c r="H23" s="6" t="n">
        <f aca="false">COUNTIFS('Test Cases'!$B$2:$B$106,$A23,'Test Cases'!$C$2:$C$106,$B23,'Test Cases'!$L$2:$L$106,"Fail")</f>
        <v>0</v>
      </c>
      <c r="I23" s="6" t="n">
        <f aca="false">C23-G23-H23</f>
        <v>1</v>
      </c>
    </row>
    <row r="24" customFormat="false" ht="15" hidden="false" customHeight="false" outlineLevel="0" collapsed="false">
      <c r="A24" s="5" t="s">
        <v>20</v>
      </c>
      <c r="B24" s="5" t="s">
        <v>34</v>
      </c>
      <c r="C24" s="6" t="n">
        <f aca="false">COUNTIFS('Test Cases'!$B$2:$B$106,$A24,'Test Cases'!$C$2:$C$106,$B24)</f>
        <v>1</v>
      </c>
      <c r="D24" s="6" t="n">
        <f aca="false">COUNTIFS('Test Cases'!$B$2:$B$106,$A24,'Test Cases'!$C$2:$C$106,$B24,'Test Cases'!$J$2:$J$106,"Pass")</f>
        <v>0</v>
      </c>
      <c r="E24" s="6" t="n">
        <f aca="false">COUNTIFS('Test Cases'!$B$2:$B$106,$A24,'Test Cases'!$C$2:$C$106,$B24,'Test Cases'!$J$2:$J$106,"Fail")</f>
        <v>0</v>
      </c>
      <c r="F24" s="6" t="n">
        <f aca="false">COUNTIFS('Test Cases'!$B$2:$B$106,$A24,'Test Cases'!$C$2:$C$106,$B24,'Test Cases'!$J$2:$J$106,"Manual (UAT)")</f>
        <v>1</v>
      </c>
      <c r="G24" s="6" t="n">
        <f aca="false">COUNTIFS('Test Cases'!$B$2:$B$106,$A24,'Test Cases'!$C$2:$C$106,$B24,'Test Cases'!$L$2:$L$106,"Pass")</f>
        <v>0</v>
      </c>
      <c r="H24" s="6" t="n">
        <f aca="false">COUNTIFS('Test Cases'!$B$2:$B$106,$A24,'Test Cases'!$C$2:$C$106,$B24,'Test Cases'!$L$2:$L$106,"Fail")</f>
        <v>0</v>
      </c>
      <c r="I24" s="6" t="n">
        <f aca="false">C24-G24-H24</f>
        <v>1</v>
      </c>
    </row>
    <row r="25" customFormat="false" ht="15" hidden="false" customHeight="false" outlineLevel="0" collapsed="false">
      <c r="A25" s="5" t="s">
        <v>20</v>
      </c>
      <c r="B25" s="5" t="s">
        <v>35</v>
      </c>
      <c r="C25" s="6" t="n">
        <f aca="false">COUNTIFS('Test Cases'!$B$2:$B$106,$A25,'Test Cases'!$C$2:$C$106,$B25)</f>
        <v>1</v>
      </c>
      <c r="D25" s="6" t="n">
        <f aca="false">COUNTIFS('Test Cases'!$B$2:$B$106,$A25,'Test Cases'!$C$2:$C$106,$B25,'Test Cases'!$J$2:$J$106,"Pass")</f>
        <v>0</v>
      </c>
      <c r="E25" s="6" t="n">
        <f aca="false">COUNTIFS('Test Cases'!$B$2:$B$106,$A25,'Test Cases'!$C$2:$C$106,$B25,'Test Cases'!$J$2:$J$106,"Fail")</f>
        <v>0</v>
      </c>
      <c r="F25" s="6" t="n">
        <f aca="false">COUNTIFS('Test Cases'!$B$2:$B$106,$A25,'Test Cases'!$C$2:$C$106,$B25,'Test Cases'!$J$2:$J$106,"Manual (UAT)")</f>
        <v>1</v>
      </c>
      <c r="G25" s="6" t="n">
        <f aca="false">COUNTIFS('Test Cases'!$B$2:$B$106,$A25,'Test Cases'!$C$2:$C$106,$B25,'Test Cases'!$L$2:$L$106,"Pass")</f>
        <v>0</v>
      </c>
      <c r="H25" s="6" t="n">
        <f aca="false">COUNTIFS('Test Cases'!$B$2:$B$106,$A25,'Test Cases'!$C$2:$C$106,$B25,'Test Cases'!$L$2:$L$106,"Fail")</f>
        <v>0</v>
      </c>
      <c r="I25" s="6" t="n">
        <f aca="false">C25-G25-H25</f>
        <v>1</v>
      </c>
    </row>
    <row r="26" customFormat="false" ht="15" hidden="false" customHeight="false" outlineLevel="0" collapsed="false">
      <c r="A26" s="5" t="s">
        <v>20</v>
      </c>
      <c r="B26" s="5" t="s">
        <v>36</v>
      </c>
      <c r="C26" s="6" t="n">
        <f aca="false">COUNTIFS('Test Cases'!$B$2:$B$106,$A26,'Test Cases'!$C$2:$C$106,$B26)</f>
        <v>2</v>
      </c>
      <c r="D26" s="6" t="n">
        <f aca="false">COUNTIFS('Test Cases'!$B$2:$B$106,$A26,'Test Cases'!$C$2:$C$106,$B26,'Test Cases'!$J$2:$J$106,"Pass")</f>
        <v>0</v>
      </c>
      <c r="E26" s="6" t="n">
        <f aca="false">COUNTIFS('Test Cases'!$B$2:$B$106,$A26,'Test Cases'!$C$2:$C$106,$B26,'Test Cases'!$J$2:$J$106,"Fail")</f>
        <v>0</v>
      </c>
      <c r="F26" s="6" t="n">
        <f aca="false">COUNTIFS('Test Cases'!$B$2:$B$106,$A26,'Test Cases'!$C$2:$C$106,$B26,'Test Cases'!$J$2:$J$106,"Manual (UAT)")</f>
        <v>2</v>
      </c>
      <c r="G26" s="6" t="n">
        <f aca="false">COUNTIFS('Test Cases'!$B$2:$B$106,$A26,'Test Cases'!$C$2:$C$106,$B26,'Test Cases'!$L$2:$L$106,"Pass")</f>
        <v>0</v>
      </c>
      <c r="H26" s="6" t="n">
        <f aca="false">COUNTIFS('Test Cases'!$B$2:$B$106,$A26,'Test Cases'!$C$2:$C$106,$B26,'Test Cases'!$L$2:$L$106,"Fail")</f>
        <v>0</v>
      </c>
      <c r="I26" s="6" t="n">
        <f aca="false">C26-G26-H26</f>
        <v>2</v>
      </c>
    </row>
    <row r="27" customFormat="false" ht="15" hidden="false" customHeight="false" outlineLevel="0" collapsed="false">
      <c r="A27" s="5" t="s">
        <v>20</v>
      </c>
      <c r="B27" s="5" t="s">
        <v>37</v>
      </c>
      <c r="C27" s="6" t="n">
        <f aca="false">COUNTIFS('Test Cases'!$B$2:$B$106,$A27,'Test Cases'!$C$2:$C$106,$B27)</f>
        <v>1</v>
      </c>
      <c r="D27" s="6" t="n">
        <f aca="false">COUNTIFS('Test Cases'!$B$2:$B$106,$A27,'Test Cases'!$C$2:$C$106,$B27,'Test Cases'!$J$2:$J$106,"Pass")</f>
        <v>0</v>
      </c>
      <c r="E27" s="6" t="n">
        <f aca="false">COUNTIFS('Test Cases'!$B$2:$B$106,$A27,'Test Cases'!$C$2:$C$106,$B27,'Test Cases'!$J$2:$J$106,"Fail")</f>
        <v>0</v>
      </c>
      <c r="F27" s="6" t="n">
        <f aca="false">COUNTIFS('Test Cases'!$B$2:$B$106,$A27,'Test Cases'!$C$2:$C$106,$B27,'Test Cases'!$J$2:$J$106,"Manual (UAT)")</f>
        <v>1</v>
      </c>
      <c r="G27" s="6" t="n">
        <f aca="false">COUNTIFS('Test Cases'!$B$2:$B$106,$A27,'Test Cases'!$C$2:$C$106,$B27,'Test Cases'!$L$2:$L$106,"Pass")</f>
        <v>0</v>
      </c>
      <c r="H27" s="6" t="n">
        <f aca="false">COUNTIFS('Test Cases'!$B$2:$B$106,$A27,'Test Cases'!$C$2:$C$106,$B27,'Test Cases'!$L$2:$L$106,"Fail")</f>
        <v>0</v>
      </c>
      <c r="I27" s="6" t="n">
        <f aca="false">C27-G27-H27</f>
        <v>1</v>
      </c>
    </row>
    <row r="28" customFormat="false" ht="15" hidden="false" customHeight="false" outlineLevel="0" collapsed="false">
      <c r="A28" s="7" t="s">
        <v>38</v>
      </c>
      <c r="B28" s="7"/>
      <c r="C28" s="8" t="n">
        <f aca="false">SUM(C11:C27)</f>
        <v>74</v>
      </c>
      <c r="D28" s="8" t="n">
        <f aca="false">SUM(D11:D27)</f>
        <v>49</v>
      </c>
      <c r="E28" s="8" t="n">
        <f aca="false">SUM(E11:E27)</f>
        <v>0</v>
      </c>
      <c r="F28" s="8" t="n">
        <f aca="false">SUM(F11:F27)</f>
        <v>25</v>
      </c>
      <c r="G28" s="8" t="n">
        <f aca="false">SUM(G11:G27)</f>
        <v>0</v>
      </c>
      <c r="H28" s="8" t="n">
        <f aca="false">SUM(H11:H27)</f>
        <v>0</v>
      </c>
      <c r="I28" s="8" t="n">
        <f aca="false">SUM(I11:I27)</f>
        <v>74</v>
      </c>
    </row>
    <row r="29" customFormat="false" ht="15" hidden="false" customHeight="false" outlineLevel="0" collapsed="false">
      <c r="A29" s="5" t="s">
        <v>39</v>
      </c>
      <c r="B29" s="5" t="s">
        <v>40</v>
      </c>
      <c r="C29" s="6" t="n">
        <f aca="false">COUNTIFS('Test Cases'!$B$2:$B$106,$A29,'Test Cases'!$C$2:$C$106,$B29)</f>
        <v>18</v>
      </c>
      <c r="D29" s="6" t="n">
        <f aca="false">COUNTIFS('Test Cases'!$B$2:$B$106,$A29,'Test Cases'!$C$2:$C$106,$B29,'Test Cases'!$J$2:$J$106,"Pass")</f>
        <v>14</v>
      </c>
      <c r="E29" s="6" t="n">
        <f aca="false">COUNTIFS('Test Cases'!$B$2:$B$106,$A29,'Test Cases'!$C$2:$C$106,$B29,'Test Cases'!$J$2:$J$106,"Fail")</f>
        <v>0</v>
      </c>
      <c r="F29" s="6" t="n">
        <f aca="false">COUNTIFS('Test Cases'!$B$2:$B$106,$A29,'Test Cases'!$C$2:$C$106,$B29,'Test Cases'!$J$2:$J$106,"Manual (UAT)")</f>
        <v>4</v>
      </c>
      <c r="G29" s="6" t="n">
        <f aca="false">COUNTIFS('Test Cases'!$B$2:$B$106,$A29,'Test Cases'!$C$2:$C$106,$B29,'Test Cases'!$L$2:$L$106,"Pass")</f>
        <v>0</v>
      </c>
      <c r="H29" s="6" t="n">
        <f aca="false">COUNTIFS('Test Cases'!$B$2:$B$106,$A29,'Test Cases'!$C$2:$C$106,$B29,'Test Cases'!$L$2:$L$106,"Fail")</f>
        <v>0</v>
      </c>
      <c r="I29" s="6" t="n">
        <f aca="false">C29-G29-H29</f>
        <v>18</v>
      </c>
    </row>
    <row r="30" customFormat="false" ht="15" hidden="false" customHeight="false" outlineLevel="0" collapsed="false">
      <c r="A30" s="5" t="s">
        <v>39</v>
      </c>
      <c r="B30" s="5" t="s">
        <v>41</v>
      </c>
      <c r="C30" s="6" t="n">
        <f aca="false">COUNTIFS('Test Cases'!$B$2:$B$106,$A30,'Test Cases'!$C$2:$C$106,$B30)</f>
        <v>10</v>
      </c>
      <c r="D30" s="6" t="n">
        <f aca="false">COUNTIFS('Test Cases'!$B$2:$B$106,$A30,'Test Cases'!$C$2:$C$106,$B30,'Test Cases'!$J$2:$J$106,"Pass")</f>
        <v>10</v>
      </c>
      <c r="E30" s="6" t="n">
        <f aca="false">COUNTIFS('Test Cases'!$B$2:$B$106,$A30,'Test Cases'!$C$2:$C$106,$B30,'Test Cases'!$J$2:$J$106,"Fail")</f>
        <v>0</v>
      </c>
      <c r="F30" s="6" t="n">
        <f aca="false">COUNTIFS('Test Cases'!$B$2:$B$106,$A30,'Test Cases'!$C$2:$C$106,$B30,'Test Cases'!$J$2:$J$106,"Manual (UAT)")</f>
        <v>0</v>
      </c>
      <c r="G30" s="6" t="n">
        <f aca="false">COUNTIFS('Test Cases'!$B$2:$B$106,$A30,'Test Cases'!$C$2:$C$106,$B30,'Test Cases'!$L$2:$L$106,"Pass")</f>
        <v>0</v>
      </c>
      <c r="H30" s="6" t="n">
        <f aca="false">COUNTIFS('Test Cases'!$B$2:$B$106,$A30,'Test Cases'!$C$2:$C$106,$B30,'Test Cases'!$L$2:$L$106,"Fail")</f>
        <v>0</v>
      </c>
      <c r="I30" s="6" t="n">
        <f aca="false">C30-G30-H30</f>
        <v>10</v>
      </c>
    </row>
    <row r="31" customFormat="false" ht="15" hidden="false" customHeight="false" outlineLevel="0" collapsed="false">
      <c r="A31" s="5" t="s">
        <v>39</v>
      </c>
      <c r="B31" s="5" t="s">
        <v>42</v>
      </c>
      <c r="C31" s="6" t="n">
        <f aca="false">COUNTIFS('Test Cases'!$B$2:$B$106,$A31,'Test Cases'!$C$2:$C$106,$B31)</f>
        <v>2</v>
      </c>
      <c r="D31" s="6" t="n">
        <f aca="false">COUNTIFS('Test Cases'!$B$2:$B$106,$A31,'Test Cases'!$C$2:$C$106,$B31,'Test Cases'!$J$2:$J$106,"Pass")</f>
        <v>2</v>
      </c>
      <c r="E31" s="6" t="n">
        <f aca="false">COUNTIFS('Test Cases'!$B$2:$B$106,$A31,'Test Cases'!$C$2:$C$106,$B31,'Test Cases'!$J$2:$J$106,"Fail")</f>
        <v>0</v>
      </c>
      <c r="F31" s="6" t="n">
        <f aca="false">COUNTIFS('Test Cases'!$B$2:$B$106,$A31,'Test Cases'!$C$2:$C$106,$B31,'Test Cases'!$J$2:$J$106,"Manual (UAT)")</f>
        <v>0</v>
      </c>
      <c r="G31" s="6" t="n">
        <f aca="false">COUNTIFS('Test Cases'!$B$2:$B$106,$A31,'Test Cases'!$C$2:$C$106,$B31,'Test Cases'!$L$2:$L$106,"Pass")</f>
        <v>0</v>
      </c>
      <c r="H31" s="6" t="n">
        <f aca="false">COUNTIFS('Test Cases'!$B$2:$B$106,$A31,'Test Cases'!$C$2:$C$106,$B31,'Test Cases'!$L$2:$L$106,"Fail")</f>
        <v>0</v>
      </c>
      <c r="I31" s="6" t="n">
        <f aca="false">C31-G31-H31</f>
        <v>2</v>
      </c>
    </row>
    <row r="32" customFormat="false" ht="15" hidden="false" customHeight="false" outlineLevel="0" collapsed="false">
      <c r="A32" s="5" t="s">
        <v>39</v>
      </c>
      <c r="B32" s="5" t="s">
        <v>43</v>
      </c>
      <c r="C32" s="6" t="n">
        <f aca="false">COUNTIFS('Test Cases'!$B$2:$B$106,$A32,'Test Cases'!$C$2:$C$106,$B32)</f>
        <v>1</v>
      </c>
      <c r="D32" s="6" t="n">
        <f aca="false">COUNTIFS('Test Cases'!$B$2:$B$106,$A32,'Test Cases'!$C$2:$C$106,$B32,'Test Cases'!$J$2:$J$106,"Pass")</f>
        <v>0</v>
      </c>
      <c r="E32" s="6" t="n">
        <f aca="false">COUNTIFS('Test Cases'!$B$2:$B$106,$A32,'Test Cases'!$C$2:$C$106,$B32,'Test Cases'!$J$2:$J$106,"Fail")</f>
        <v>0</v>
      </c>
      <c r="F32" s="6" t="n">
        <f aca="false">COUNTIFS('Test Cases'!$B$2:$B$106,$A32,'Test Cases'!$C$2:$C$106,$B32,'Test Cases'!$J$2:$J$106,"Manual (UAT)")</f>
        <v>1</v>
      </c>
      <c r="G32" s="6" t="n">
        <f aca="false">COUNTIFS('Test Cases'!$B$2:$B$106,$A32,'Test Cases'!$C$2:$C$106,$B32,'Test Cases'!$L$2:$L$106,"Pass")</f>
        <v>0</v>
      </c>
      <c r="H32" s="6" t="n">
        <f aca="false">COUNTIFS('Test Cases'!$B$2:$B$106,$A32,'Test Cases'!$C$2:$C$106,$B32,'Test Cases'!$L$2:$L$106,"Fail")</f>
        <v>0</v>
      </c>
      <c r="I32" s="6" t="n">
        <f aca="false">C32-G32-H32</f>
        <v>1</v>
      </c>
    </row>
    <row r="33" customFormat="false" ht="15" hidden="false" customHeight="false" outlineLevel="0" collapsed="false">
      <c r="A33" s="7" t="s">
        <v>44</v>
      </c>
      <c r="B33" s="7"/>
      <c r="C33" s="8" t="n">
        <f aca="false">SUM(C29:C32)</f>
        <v>31</v>
      </c>
      <c r="D33" s="8" t="n">
        <f aca="false">SUM(D29:D32)</f>
        <v>26</v>
      </c>
      <c r="E33" s="8" t="n">
        <f aca="false">SUM(E29:E32)</f>
        <v>0</v>
      </c>
      <c r="F33" s="8" t="n">
        <f aca="false">SUM(F29:F32)</f>
        <v>5</v>
      </c>
      <c r="G33" s="8" t="n">
        <f aca="false">SUM(G29:G32)</f>
        <v>0</v>
      </c>
      <c r="H33" s="8" t="n">
        <f aca="false">SUM(H29:H32)</f>
        <v>0</v>
      </c>
      <c r="I33" s="8" t="n">
        <f aca="false">SUM(I29:I32)</f>
        <v>31</v>
      </c>
    </row>
    <row r="34" customFormat="false" ht="15" hidden="false" customHeight="false" outlineLevel="0" collapsed="false">
      <c r="A34" s="9" t="s">
        <v>45</v>
      </c>
      <c r="B34" s="9"/>
      <c r="C34" s="10" t="n">
        <f aca="false">C11+C12+C13+C14+C15+C16+C17+C18+C19+C20+C21+C22+C23+C24+C25+C26+C27+C29+C30+C31+C32</f>
        <v>105</v>
      </c>
      <c r="D34" s="10" t="n">
        <f aca="false">D11+D12+D13+D14+D15+D16+D17+D18+D19+D20+D21+D22+D23+D24+D25+D26+D27+D29+D30+D31+D32</f>
        <v>75</v>
      </c>
      <c r="E34" s="10" t="n">
        <f aca="false">E11+E12+E13+E14+E15+E16+E17+E18+E19+E20+E21+E22+E23+E24+E25+E26+E27+E29+E30+E31+E32</f>
        <v>0</v>
      </c>
      <c r="F34" s="10" t="n">
        <f aca="false">F11+F12+F13+F14+F15+F16+F17+F18+F19+F20+F21+F22+F23+F24+F25+F26+F27+F29+F30+F31+F32</f>
        <v>30</v>
      </c>
      <c r="G34" s="10" t="n">
        <f aca="false">G11+G12+G13+G14+G15+G16+G17+G18+G19+G20+G21+G22+G23+G24+G25+G26+G27+G29+G30+G31+G32</f>
        <v>0</v>
      </c>
      <c r="H34" s="10" t="n">
        <f aca="false">H11+H12+H13+H14+H15+H16+H17+H18+H19+H20+H21+H22+H23+H24+H25+H26+H27+H29+H30+H31+H32</f>
        <v>0</v>
      </c>
      <c r="I34" s="10" t="n">
        <f aca="false">I11+I12+I13+I14+I15+I16+I17+I18+I19+I20+I21+I22+I23+I24+I25+I26+I27+I29+I30+I31+I32</f>
        <v>105</v>
      </c>
    </row>
    <row r="36" customFormat="false" ht="15" hidden="false" customHeight="false" outlineLevel="0" collapsed="false">
      <c r="A36" s="2" t="s">
        <v>46</v>
      </c>
      <c r="B36" s="11" t="n">
        <f aca="false">IFERROR(D34/(D34+E34),0)</f>
        <v>1</v>
      </c>
    </row>
    <row r="37" customFormat="false" ht="15" hidden="false" customHeight="false" outlineLevel="0" collapsed="false">
      <c r="A37" s="2" t="s">
        <v>47</v>
      </c>
      <c r="B37" s="11" t="n">
        <f aca="false">IFERROR(G34/(G34+H34),0)</f>
        <v>0</v>
      </c>
    </row>
    <row r="39" customFormat="false" ht="15" hidden="false" customHeight="false" outlineLevel="0" collapsed="false">
      <c r="A39" s="12" t="s">
        <v>48</v>
      </c>
    </row>
    <row r="40" customFormat="false" ht="15" hidden="false" customHeight="false" outlineLevel="0" collapsed="false">
      <c r="A40" s="13" t="s">
        <v>49</v>
      </c>
    </row>
    <row r="41" customFormat="false" ht="15" hidden="false" customHeight="false" outlineLevel="0" collapsed="false">
      <c r="A41" s="13" t="s">
        <v>50</v>
      </c>
    </row>
    <row r="42" customFormat="false" ht="15" hidden="false" customHeight="false" outlineLevel="0" collapsed="false">
      <c r="A42" s="13" t="s">
        <v>51</v>
      </c>
    </row>
    <row r="43" customFormat="false" ht="15" hidden="false" customHeight="false" outlineLevel="0" collapsed="false">
      <c r="A43" s="13" t="s">
        <v>52</v>
      </c>
    </row>
    <row r="44" customFormat="false" ht="15" hidden="false" customHeight="false" outlineLevel="0" collapsed="false">
      <c r="A44" s="13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26"/>
    <col collapsed="false" customWidth="true" hidden="false" outlineLevel="0" max="6" min="6" style="0" width="46"/>
    <col collapsed="false" customWidth="true" hidden="false" outlineLevel="0" max="7" min="7" style="0" width="38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11"/>
    <col collapsed="false" customWidth="true" hidden="false" outlineLevel="0" max="13" min="13" style="0" width="14"/>
    <col collapsed="false" customWidth="true" hidden="false" outlineLevel="0" max="14" min="14" style="0" width="11"/>
    <col collapsed="false" customWidth="true" hidden="false" outlineLevel="0" max="15" min="15" style="0" width="30"/>
  </cols>
  <sheetData>
    <row r="1" customFormat="false" ht="35.05" hidden="false" customHeight="false" outlineLevel="0" collapsed="false">
      <c r="A1" s="4" t="s">
        <v>54</v>
      </c>
      <c r="B1" s="4" t="s">
        <v>11</v>
      </c>
      <c r="C1" s="4" t="s">
        <v>12</v>
      </c>
      <c r="D1" s="4" t="s">
        <v>55</v>
      </c>
      <c r="E1" s="4" t="s">
        <v>56</v>
      </c>
      <c r="F1" s="4" t="s">
        <v>57</v>
      </c>
      <c r="G1" s="4" t="s">
        <v>58</v>
      </c>
      <c r="H1" s="4" t="s">
        <v>59</v>
      </c>
      <c r="I1" s="4" t="s">
        <v>60</v>
      </c>
      <c r="J1" s="4" t="s">
        <v>61</v>
      </c>
      <c r="K1" s="4" t="s">
        <v>62</v>
      </c>
      <c r="L1" s="4" t="s">
        <v>63</v>
      </c>
      <c r="M1" s="4" t="s">
        <v>64</v>
      </c>
      <c r="N1" s="4" t="s">
        <v>65</v>
      </c>
      <c r="O1" s="4" t="s">
        <v>66</v>
      </c>
    </row>
    <row r="2" customFormat="false" ht="57.45" hidden="false" customHeight="false" outlineLevel="0" collapsed="false">
      <c r="A2" s="14" t="s">
        <v>67</v>
      </c>
      <c r="B2" s="14" t="s">
        <v>20</v>
      </c>
      <c r="C2" s="14" t="s">
        <v>21</v>
      </c>
      <c r="D2" s="14" t="s">
        <v>68</v>
      </c>
      <c r="E2" s="14" t="s">
        <v>69</v>
      </c>
      <c r="F2" s="14" t="s">
        <v>70</v>
      </c>
      <c r="G2" s="14" t="s">
        <v>71</v>
      </c>
      <c r="H2" s="14" t="s">
        <v>72</v>
      </c>
      <c r="I2" s="14" t="s">
        <v>73</v>
      </c>
      <c r="J2" s="14" t="s">
        <v>74</v>
      </c>
      <c r="K2" s="14" t="s">
        <v>75</v>
      </c>
      <c r="L2" s="15"/>
      <c r="M2" s="15"/>
      <c r="N2" s="15"/>
      <c r="O2" s="15"/>
    </row>
    <row r="3" customFormat="false" ht="35.05" hidden="false" customHeight="false" outlineLevel="0" collapsed="false">
      <c r="A3" s="14" t="s">
        <v>76</v>
      </c>
      <c r="B3" s="14" t="s">
        <v>20</v>
      </c>
      <c r="C3" s="14" t="s">
        <v>21</v>
      </c>
      <c r="D3" s="14" t="s">
        <v>77</v>
      </c>
      <c r="E3" s="14" t="s">
        <v>69</v>
      </c>
      <c r="F3" s="14" t="s">
        <v>78</v>
      </c>
      <c r="G3" s="14" t="s">
        <v>79</v>
      </c>
      <c r="H3" s="14" t="s">
        <v>72</v>
      </c>
      <c r="I3" s="14" t="s">
        <v>80</v>
      </c>
      <c r="J3" s="14" t="s">
        <v>74</v>
      </c>
      <c r="K3" s="14" t="s">
        <v>75</v>
      </c>
      <c r="L3" s="15"/>
      <c r="M3" s="15"/>
      <c r="N3" s="15"/>
      <c r="O3" s="15"/>
    </row>
    <row r="4" customFormat="false" ht="35.05" hidden="false" customHeight="false" outlineLevel="0" collapsed="false">
      <c r="A4" s="14" t="s">
        <v>81</v>
      </c>
      <c r="B4" s="14" t="s">
        <v>20</v>
      </c>
      <c r="C4" s="14" t="s">
        <v>21</v>
      </c>
      <c r="D4" s="14" t="s">
        <v>82</v>
      </c>
      <c r="E4" s="14" t="s">
        <v>69</v>
      </c>
      <c r="F4" s="14" t="s">
        <v>83</v>
      </c>
      <c r="G4" s="14" t="s">
        <v>84</v>
      </c>
      <c r="H4" s="14" t="s">
        <v>72</v>
      </c>
      <c r="I4" s="14" t="s">
        <v>80</v>
      </c>
      <c r="J4" s="14" t="s">
        <v>74</v>
      </c>
      <c r="K4" s="14" t="s">
        <v>75</v>
      </c>
      <c r="L4" s="15"/>
      <c r="M4" s="15"/>
      <c r="N4" s="15"/>
      <c r="O4" s="15"/>
    </row>
    <row r="5" customFormat="false" ht="35.05" hidden="false" customHeight="false" outlineLevel="0" collapsed="false">
      <c r="A5" s="14" t="s">
        <v>85</v>
      </c>
      <c r="B5" s="14" t="s">
        <v>20</v>
      </c>
      <c r="C5" s="14" t="s">
        <v>21</v>
      </c>
      <c r="D5" s="14" t="s">
        <v>86</v>
      </c>
      <c r="E5" s="14" t="s">
        <v>69</v>
      </c>
      <c r="F5" s="14" t="s">
        <v>87</v>
      </c>
      <c r="G5" s="14" t="s">
        <v>88</v>
      </c>
      <c r="H5" s="14" t="s">
        <v>72</v>
      </c>
      <c r="I5" s="14" t="s">
        <v>80</v>
      </c>
      <c r="J5" s="14" t="s">
        <v>74</v>
      </c>
      <c r="K5" s="14" t="s">
        <v>75</v>
      </c>
      <c r="L5" s="15"/>
      <c r="M5" s="15"/>
      <c r="N5" s="15"/>
      <c r="O5" s="15"/>
    </row>
    <row r="6" customFormat="false" ht="35.05" hidden="false" customHeight="false" outlineLevel="0" collapsed="false">
      <c r="A6" s="14" t="s">
        <v>89</v>
      </c>
      <c r="B6" s="14" t="s">
        <v>20</v>
      </c>
      <c r="C6" s="14" t="s">
        <v>21</v>
      </c>
      <c r="D6" s="14" t="s">
        <v>90</v>
      </c>
      <c r="E6" s="14" t="s">
        <v>69</v>
      </c>
      <c r="F6" s="14" t="s">
        <v>91</v>
      </c>
      <c r="G6" s="14" t="s">
        <v>92</v>
      </c>
      <c r="H6" s="14" t="s">
        <v>72</v>
      </c>
      <c r="I6" s="14" t="s">
        <v>73</v>
      </c>
      <c r="J6" s="14" t="s">
        <v>74</v>
      </c>
      <c r="K6" s="14" t="s">
        <v>75</v>
      </c>
      <c r="L6" s="15"/>
      <c r="M6" s="15"/>
      <c r="N6" s="15"/>
      <c r="O6" s="15"/>
    </row>
    <row r="7" customFormat="false" ht="35.05" hidden="false" customHeight="false" outlineLevel="0" collapsed="false">
      <c r="A7" s="14" t="s">
        <v>93</v>
      </c>
      <c r="B7" s="14" t="s">
        <v>20</v>
      </c>
      <c r="C7" s="14" t="s">
        <v>21</v>
      </c>
      <c r="D7" s="14" t="s">
        <v>94</v>
      </c>
      <c r="E7" s="14" t="s">
        <v>69</v>
      </c>
      <c r="F7" s="14" t="s">
        <v>95</v>
      </c>
      <c r="G7" s="14" t="s">
        <v>96</v>
      </c>
      <c r="H7" s="14" t="s">
        <v>72</v>
      </c>
      <c r="I7" s="14" t="s">
        <v>80</v>
      </c>
      <c r="J7" s="14" t="s">
        <v>74</v>
      </c>
      <c r="K7" s="14" t="s">
        <v>75</v>
      </c>
      <c r="L7" s="15"/>
      <c r="M7" s="15"/>
      <c r="N7" s="15"/>
      <c r="O7" s="15"/>
    </row>
    <row r="8" customFormat="false" ht="35.05" hidden="false" customHeight="false" outlineLevel="0" collapsed="false">
      <c r="A8" s="14" t="s">
        <v>97</v>
      </c>
      <c r="B8" s="14" t="s">
        <v>20</v>
      </c>
      <c r="C8" s="14" t="s">
        <v>21</v>
      </c>
      <c r="D8" s="14" t="s">
        <v>98</v>
      </c>
      <c r="E8" s="14" t="s">
        <v>69</v>
      </c>
      <c r="F8" s="14" t="s">
        <v>99</v>
      </c>
      <c r="G8" s="14" t="s">
        <v>100</v>
      </c>
      <c r="H8" s="14" t="s">
        <v>72</v>
      </c>
      <c r="I8" s="14" t="s">
        <v>73</v>
      </c>
      <c r="J8" s="14" t="s">
        <v>74</v>
      </c>
      <c r="K8" s="14" t="s">
        <v>75</v>
      </c>
      <c r="L8" s="15"/>
      <c r="M8" s="15"/>
      <c r="N8" s="15"/>
      <c r="O8" s="15"/>
    </row>
    <row r="9" customFormat="false" ht="46.25" hidden="false" customHeight="false" outlineLevel="0" collapsed="false">
      <c r="A9" s="14" t="s">
        <v>101</v>
      </c>
      <c r="B9" s="14" t="s">
        <v>20</v>
      </c>
      <c r="C9" s="14" t="s">
        <v>22</v>
      </c>
      <c r="D9" s="14" t="s">
        <v>102</v>
      </c>
      <c r="E9" s="14" t="s">
        <v>69</v>
      </c>
      <c r="F9" s="14" t="s">
        <v>103</v>
      </c>
      <c r="G9" s="14" t="s">
        <v>104</v>
      </c>
      <c r="H9" s="14" t="s">
        <v>72</v>
      </c>
      <c r="I9" s="14" t="s">
        <v>80</v>
      </c>
      <c r="J9" s="14" t="s">
        <v>74</v>
      </c>
      <c r="K9" s="14" t="s">
        <v>75</v>
      </c>
      <c r="L9" s="15"/>
      <c r="M9" s="15"/>
      <c r="N9" s="15"/>
      <c r="O9" s="15"/>
    </row>
    <row r="10" customFormat="false" ht="46.25" hidden="false" customHeight="false" outlineLevel="0" collapsed="false">
      <c r="A10" s="14" t="s">
        <v>105</v>
      </c>
      <c r="B10" s="14" t="s">
        <v>20</v>
      </c>
      <c r="C10" s="14" t="s">
        <v>22</v>
      </c>
      <c r="D10" s="14" t="s">
        <v>106</v>
      </c>
      <c r="E10" s="14" t="s">
        <v>69</v>
      </c>
      <c r="F10" s="14" t="s">
        <v>107</v>
      </c>
      <c r="G10" s="14" t="s">
        <v>108</v>
      </c>
      <c r="H10" s="14" t="s">
        <v>72</v>
      </c>
      <c r="I10" s="14" t="s">
        <v>73</v>
      </c>
      <c r="J10" s="14" t="s">
        <v>74</v>
      </c>
      <c r="K10" s="14" t="s">
        <v>75</v>
      </c>
      <c r="L10" s="15"/>
      <c r="M10" s="15"/>
      <c r="N10" s="15"/>
      <c r="O10" s="15"/>
    </row>
    <row r="11" customFormat="false" ht="35.05" hidden="false" customHeight="false" outlineLevel="0" collapsed="false">
      <c r="A11" s="14" t="s">
        <v>109</v>
      </c>
      <c r="B11" s="14" t="s">
        <v>20</v>
      </c>
      <c r="C11" s="14" t="s">
        <v>21</v>
      </c>
      <c r="D11" s="14" t="s">
        <v>110</v>
      </c>
      <c r="E11" s="14" t="s">
        <v>69</v>
      </c>
      <c r="F11" s="14" t="s">
        <v>111</v>
      </c>
      <c r="G11" s="14" t="s">
        <v>112</v>
      </c>
      <c r="H11" s="14" t="s">
        <v>72</v>
      </c>
      <c r="I11" s="14" t="s">
        <v>80</v>
      </c>
      <c r="J11" s="14" t="s">
        <v>74</v>
      </c>
      <c r="K11" s="14" t="s">
        <v>75</v>
      </c>
      <c r="L11" s="15"/>
      <c r="M11" s="15"/>
      <c r="N11" s="15"/>
      <c r="O11" s="15"/>
    </row>
    <row r="12" customFormat="false" ht="57.45" hidden="false" customHeight="false" outlineLevel="0" collapsed="false">
      <c r="A12" s="14" t="s">
        <v>113</v>
      </c>
      <c r="B12" s="14" t="s">
        <v>20</v>
      </c>
      <c r="C12" s="14" t="s">
        <v>23</v>
      </c>
      <c r="D12" s="14" t="s">
        <v>114</v>
      </c>
      <c r="E12" s="14" t="s">
        <v>69</v>
      </c>
      <c r="F12" s="14" t="s">
        <v>115</v>
      </c>
      <c r="G12" s="14" t="s">
        <v>116</v>
      </c>
      <c r="H12" s="14" t="s">
        <v>72</v>
      </c>
      <c r="I12" s="14" t="s">
        <v>73</v>
      </c>
      <c r="J12" s="14" t="s">
        <v>74</v>
      </c>
      <c r="K12" s="14" t="s">
        <v>75</v>
      </c>
      <c r="L12" s="15"/>
      <c r="M12" s="15"/>
      <c r="N12" s="15"/>
      <c r="O12" s="15"/>
    </row>
    <row r="13" customFormat="false" ht="46.25" hidden="false" customHeight="false" outlineLevel="0" collapsed="false">
      <c r="A13" s="14" t="s">
        <v>117</v>
      </c>
      <c r="B13" s="14" t="s">
        <v>20</v>
      </c>
      <c r="C13" s="14" t="s">
        <v>23</v>
      </c>
      <c r="D13" s="14" t="s">
        <v>118</v>
      </c>
      <c r="E13" s="14" t="s">
        <v>69</v>
      </c>
      <c r="F13" s="14" t="s">
        <v>119</v>
      </c>
      <c r="G13" s="14" t="s">
        <v>120</v>
      </c>
      <c r="H13" s="14" t="s">
        <v>72</v>
      </c>
      <c r="I13" s="14" t="s">
        <v>80</v>
      </c>
      <c r="J13" s="14" t="s">
        <v>74</v>
      </c>
      <c r="K13" s="14" t="s">
        <v>75</v>
      </c>
      <c r="L13" s="15"/>
      <c r="M13" s="15"/>
      <c r="N13" s="15"/>
      <c r="O13" s="15"/>
    </row>
    <row r="14" customFormat="false" ht="35.05" hidden="false" customHeight="false" outlineLevel="0" collapsed="false">
      <c r="A14" s="14" t="s">
        <v>121</v>
      </c>
      <c r="B14" s="14" t="s">
        <v>20</v>
      </c>
      <c r="C14" s="14" t="s">
        <v>23</v>
      </c>
      <c r="D14" s="14" t="s">
        <v>122</v>
      </c>
      <c r="E14" s="14" t="s">
        <v>69</v>
      </c>
      <c r="F14" s="14" t="s">
        <v>123</v>
      </c>
      <c r="G14" s="14" t="s">
        <v>120</v>
      </c>
      <c r="H14" s="14" t="s">
        <v>72</v>
      </c>
      <c r="I14" s="14" t="s">
        <v>80</v>
      </c>
      <c r="J14" s="14" t="s">
        <v>74</v>
      </c>
      <c r="K14" s="14" t="s">
        <v>75</v>
      </c>
      <c r="L14" s="15"/>
      <c r="M14" s="15"/>
      <c r="N14" s="15"/>
      <c r="O14" s="15"/>
    </row>
    <row r="15" customFormat="false" ht="35.05" hidden="false" customHeight="false" outlineLevel="0" collapsed="false">
      <c r="A15" s="14" t="s">
        <v>124</v>
      </c>
      <c r="B15" s="14" t="s">
        <v>20</v>
      </c>
      <c r="C15" s="14" t="s">
        <v>23</v>
      </c>
      <c r="D15" s="14" t="s">
        <v>125</v>
      </c>
      <c r="E15" s="14" t="s">
        <v>69</v>
      </c>
      <c r="F15" s="14" t="s">
        <v>126</v>
      </c>
      <c r="G15" s="14" t="s">
        <v>127</v>
      </c>
      <c r="H15" s="14" t="s">
        <v>72</v>
      </c>
      <c r="I15" s="14" t="s">
        <v>73</v>
      </c>
      <c r="J15" s="14" t="s">
        <v>74</v>
      </c>
      <c r="K15" s="14" t="s">
        <v>75</v>
      </c>
      <c r="L15" s="15"/>
      <c r="M15" s="15"/>
      <c r="N15" s="15"/>
      <c r="O15" s="15"/>
    </row>
    <row r="16" customFormat="false" ht="35.05" hidden="false" customHeight="false" outlineLevel="0" collapsed="false">
      <c r="A16" s="14" t="s">
        <v>128</v>
      </c>
      <c r="B16" s="14" t="s">
        <v>20</v>
      </c>
      <c r="C16" s="14" t="s">
        <v>23</v>
      </c>
      <c r="D16" s="14" t="s">
        <v>129</v>
      </c>
      <c r="E16" s="14" t="s">
        <v>69</v>
      </c>
      <c r="F16" s="14" t="s">
        <v>130</v>
      </c>
      <c r="G16" s="14" t="s">
        <v>120</v>
      </c>
      <c r="H16" s="14" t="s">
        <v>72</v>
      </c>
      <c r="I16" s="14" t="s">
        <v>80</v>
      </c>
      <c r="J16" s="14" t="s">
        <v>74</v>
      </c>
      <c r="K16" s="14" t="s">
        <v>75</v>
      </c>
      <c r="L16" s="15"/>
      <c r="M16" s="15"/>
      <c r="N16" s="15"/>
      <c r="O16" s="15"/>
    </row>
    <row r="17" customFormat="false" ht="35.05" hidden="false" customHeight="false" outlineLevel="0" collapsed="false">
      <c r="A17" s="14" t="s">
        <v>131</v>
      </c>
      <c r="B17" s="14" t="s">
        <v>20</v>
      </c>
      <c r="C17" s="14" t="s">
        <v>23</v>
      </c>
      <c r="D17" s="14" t="s">
        <v>132</v>
      </c>
      <c r="E17" s="14" t="s">
        <v>69</v>
      </c>
      <c r="F17" s="14" t="s">
        <v>133</v>
      </c>
      <c r="G17" s="14" t="s">
        <v>134</v>
      </c>
      <c r="H17" s="14" t="s">
        <v>72</v>
      </c>
      <c r="I17" s="14" t="s">
        <v>73</v>
      </c>
      <c r="J17" s="14" t="s">
        <v>74</v>
      </c>
      <c r="K17" s="14" t="s">
        <v>75</v>
      </c>
      <c r="L17" s="15"/>
      <c r="M17" s="15"/>
      <c r="N17" s="15"/>
      <c r="O17" s="15"/>
    </row>
    <row r="18" customFormat="false" ht="46.25" hidden="false" customHeight="false" outlineLevel="0" collapsed="false">
      <c r="A18" s="14" t="s">
        <v>135</v>
      </c>
      <c r="B18" s="14" t="s">
        <v>20</v>
      </c>
      <c r="C18" s="14" t="s">
        <v>24</v>
      </c>
      <c r="D18" s="14" t="s">
        <v>136</v>
      </c>
      <c r="E18" s="14" t="s">
        <v>69</v>
      </c>
      <c r="F18" s="14" t="s">
        <v>137</v>
      </c>
      <c r="G18" s="14" t="s">
        <v>120</v>
      </c>
      <c r="H18" s="14" t="s">
        <v>72</v>
      </c>
      <c r="I18" s="14" t="s">
        <v>80</v>
      </c>
      <c r="J18" s="14" t="s">
        <v>74</v>
      </c>
      <c r="K18" s="14" t="s">
        <v>75</v>
      </c>
      <c r="L18" s="15"/>
      <c r="M18" s="15"/>
      <c r="N18" s="15"/>
      <c r="O18" s="15"/>
    </row>
    <row r="19" customFormat="false" ht="46.25" hidden="false" customHeight="false" outlineLevel="0" collapsed="false">
      <c r="A19" s="14" t="s">
        <v>138</v>
      </c>
      <c r="B19" s="14" t="s">
        <v>20</v>
      </c>
      <c r="C19" s="14" t="s">
        <v>24</v>
      </c>
      <c r="D19" s="14" t="s">
        <v>139</v>
      </c>
      <c r="E19" s="14" t="s">
        <v>69</v>
      </c>
      <c r="F19" s="14" t="s">
        <v>140</v>
      </c>
      <c r="G19" s="14" t="s">
        <v>141</v>
      </c>
      <c r="H19" s="14" t="s">
        <v>72</v>
      </c>
      <c r="I19" s="14" t="s">
        <v>73</v>
      </c>
      <c r="J19" s="14" t="s">
        <v>74</v>
      </c>
      <c r="K19" s="14" t="s">
        <v>75</v>
      </c>
      <c r="L19" s="15"/>
      <c r="M19" s="15"/>
      <c r="N19" s="15"/>
      <c r="O19" s="15"/>
    </row>
    <row r="20" customFormat="false" ht="35.05" hidden="false" customHeight="false" outlineLevel="0" collapsed="false">
      <c r="A20" s="14" t="s">
        <v>142</v>
      </c>
      <c r="B20" s="14" t="s">
        <v>20</v>
      </c>
      <c r="C20" s="14" t="s">
        <v>24</v>
      </c>
      <c r="D20" s="14" t="s">
        <v>143</v>
      </c>
      <c r="E20" s="14" t="s">
        <v>69</v>
      </c>
      <c r="F20" s="14" t="s">
        <v>144</v>
      </c>
      <c r="G20" s="14" t="s">
        <v>145</v>
      </c>
      <c r="H20" s="14" t="s">
        <v>72</v>
      </c>
      <c r="I20" s="14" t="s">
        <v>80</v>
      </c>
      <c r="J20" s="14" t="s">
        <v>74</v>
      </c>
      <c r="K20" s="14" t="s">
        <v>75</v>
      </c>
      <c r="L20" s="15"/>
      <c r="M20" s="15"/>
      <c r="N20" s="15"/>
      <c r="O20" s="15"/>
    </row>
    <row r="21" customFormat="false" ht="46.25" hidden="false" customHeight="false" outlineLevel="0" collapsed="false">
      <c r="A21" s="14" t="s">
        <v>146</v>
      </c>
      <c r="B21" s="14" t="s">
        <v>20</v>
      </c>
      <c r="C21" s="14" t="s">
        <v>24</v>
      </c>
      <c r="D21" s="14" t="s">
        <v>147</v>
      </c>
      <c r="E21" s="14" t="s">
        <v>69</v>
      </c>
      <c r="F21" s="14" t="s">
        <v>148</v>
      </c>
      <c r="G21" s="14" t="s">
        <v>149</v>
      </c>
      <c r="H21" s="14" t="s">
        <v>72</v>
      </c>
      <c r="I21" s="14" t="s">
        <v>73</v>
      </c>
      <c r="J21" s="14" t="s">
        <v>74</v>
      </c>
      <c r="K21" s="14" t="s">
        <v>75</v>
      </c>
      <c r="L21" s="15"/>
      <c r="M21" s="15"/>
      <c r="N21" s="15"/>
      <c r="O21" s="15"/>
    </row>
    <row r="22" customFormat="false" ht="46.25" hidden="false" customHeight="false" outlineLevel="0" collapsed="false">
      <c r="A22" s="14" t="s">
        <v>150</v>
      </c>
      <c r="B22" s="14" t="s">
        <v>20</v>
      </c>
      <c r="C22" s="14" t="s">
        <v>25</v>
      </c>
      <c r="D22" s="14" t="s">
        <v>151</v>
      </c>
      <c r="E22" s="14" t="s">
        <v>69</v>
      </c>
      <c r="F22" s="14" t="s">
        <v>152</v>
      </c>
      <c r="G22" s="14" t="s">
        <v>153</v>
      </c>
      <c r="H22" s="14" t="s">
        <v>72</v>
      </c>
      <c r="I22" s="14" t="s">
        <v>73</v>
      </c>
      <c r="J22" s="14" t="s">
        <v>74</v>
      </c>
      <c r="K22" s="14" t="s">
        <v>75</v>
      </c>
      <c r="L22" s="15"/>
      <c r="M22" s="15"/>
      <c r="N22" s="15"/>
      <c r="O22" s="15"/>
    </row>
    <row r="23" customFormat="false" ht="35.05" hidden="false" customHeight="false" outlineLevel="0" collapsed="false">
      <c r="A23" s="14" t="s">
        <v>154</v>
      </c>
      <c r="B23" s="14" t="s">
        <v>20</v>
      </c>
      <c r="C23" s="14" t="s">
        <v>26</v>
      </c>
      <c r="D23" s="14" t="s">
        <v>155</v>
      </c>
      <c r="E23" s="14" t="s">
        <v>69</v>
      </c>
      <c r="F23" s="14" t="s">
        <v>156</v>
      </c>
      <c r="G23" s="14" t="s">
        <v>157</v>
      </c>
      <c r="H23" s="14" t="s">
        <v>158</v>
      </c>
      <c r="I23" s="14" t="s">
        <v>73</v>
      </c>
      <c r="J23" s="14" t="s">
        <v>74</v>
      </c>
      <c r="K23" s="14" t="s">
        <v>75</v>
      </c>
      <c r="L23" s="15"/>
      <c r="M23" s="15"/>
      <c r="N23" s="15"/>
      <c r="O23" s="15"/>
    </row>
    <row r="24" customFormat="false" ht="35.05" hidden="false" customHeight="false" outlineLevel="0" collapsed="false">
      <c r="A24" s="14" t="s">
        <v>159</v>
      </c>
      <c r="B24" s="14" t="s">
        <v>20</v>
      </c>
      <c r="C24" s="14" t="s">
        <v>26</v>
      </c>
      <c r="D24" s="14" t="s">
        <v>160</v>
      </c>
      <c r="E24" s="14" t="s">
        <v>69</v>
      </c>
      <c r="F24" s="14" t="s">
        <v>161</v>
      </c>
      <c r="G24" s="14" t="s">
        <v>162</v>
      </c>
      <c r="H24" s="14" t="s">
        <v>158</v>
      </c>
      <c r="I24" s="14" t="s">
        <v>80</v>
      </c>
      <c r="J24" s="14" t="s">
        <v>74</v>
      </c>
      <c r="K24" s="14" t="s">
        <v>75</v>
      </c>
      <c r="L24" s="15"/>
      <c r="M24" s="15"/>
      <c r="N24" s="15"/>
      <c r="O24" s="15"/>
    </row>
    <row r="25" customFormat="false" ht="35.05" hidden="false" customHeight="false" outlineLevel="0" collapsed="false">
      <c r="A25" s="14" t="s">
        <v>163</v>
      </c>
      <c r="B25" s="14" t="s">
        <v>20</v>
      </c>
      <c r="C25" s="14" t="s">
        <v>26</v>
      </c>
      <c r="D25" s="14" t="s">
        <v>164</v>
      </c>
      <c r="E25" s="14" t="s">
        <v>69</v>
      </c>
      <c r="F25" s="14" t="s">
        <v>165</v>
      </c>
      <c r="G25" s="14" t="s">
        <v>166</v>
      </c>
      <c r="H25" s="14" t="s">
        <v>158</v>
      </c>
      <c r="I25" s="14" t="s">
        <v>73</v>
      </c>
      <c r="J25" s="14" t="s">
        <v>74</v>
      </c>
      <c r="K25" s="14" t="s">
        <v>75</v>
      </c>
      <c r="L25" s="15"/>
      <c r="M25" s="15"/>
      <c r="N25" s="15"/>
      <c r="O25" s="15"/>
    </row>
    <row r="26" customFormat="false" ht="35.05" hidden="false" customHeight="false" outlineLevel="0" collapsed="false">
      <c r="A26" s="14" t="s">
        <v>167</v>
      </c>
      <c r="B26" s="14" t="s">
        <v>20</v>
      </c>
      <c r="C26" s="14" t="s">
        <v>26</v>
      </c>
      <c r="D26" s="14" t="s">
        <v>168</v>
      </c>
      <c r="E26" s="14" t="s">
        <v>69</v>
      </c>
      <c r="F26" s="14" t="s">
        <v>169</v>
      </c>
      <c r="G26" s="14" t="s">
        <v>170</v>
      </c>
      <c r="H26" s="14" t="s">
        <v>158</v>
      </c>
      <c r="I26" s="14" t="s">
        <v>73</v>
      </c>
      <c r="J26" s="14" t="s">
        <v>74</v>
      </c>
      <c r="K26" s="14" t="s">
        <v>75</v>
      </c>
      <c r="L26" s="15"/>
      <c r="M26" s="15"/>
      <c r="N26" s="15"/>
      <c r="O26" s="15"/>
    </row>
    <row r="27" customFormat="false" ht="46.25" hidden="false" customHeight="false" outlineLevel="0" collapsed="false">
      <c r="A27" s="14" t="s">
        <v>171</v>
      </c>
      <c r="B27" s="14" t="s">
        <v>20</v>
      </c>
      <c r="C27" s="14" t="s">
        <v>27</v>
      </c>
      <c r="D27" s="14" t="s">
        <v>172</v>
      </c>
      <c r="E27" s="14" t="s">
        <v>69</v>
      </c>
      <c r="F27" s="14" t="s">
        <v>173</v>
      </c>
      <c r="G27" s="14" t="s">
        <v>174</v>
      </c>
      <c r="H27" s="14" t="s">
        <v>158</v>
      </c>
      <c r="I27" s="14" t="s">
        <v>73</v>
      </c>
      <c r="J27" s="14" t="s">
        <v>74</v>
      </c>
      <c r="K27" s="14" t="s">
        <v>75</v>
      </c>
      <c r="L27" s="15"/>
      <c r="M27" s="15"/>
      <c r="N27" s="15"/>
      <c r="O27" s="15"/>
    </row>
    <row r="28" customFormat="false" ht="35.05" hidden="false" customHeight="false" outlineLevel="0" collapsed="false">
      <c r="A28" s="14" t="s">
        <v>175</v>
      </c>
      <c r="B28" s="14" t="s">
        <v>20</v>
      </c>
      <c r="C28" s="14" t="s">
        <v>27</v>
      </c>
      <c r="D28" s="14" t="s">
        <v>176</v>
      </c>
      <c r="E28" s="14" t="s">
        <v>69</v>
      </c>
      <c r="F28" s="14" t="s">
        <v>177</v>
      </c>
      <c r="G28" s="14" t="s">
        <v>120</v>
      </c>
      <c r="H28" s="14" t="s">
        <v>158</v>
      </c>
      <c r="I28" s="14" t="s">
        <v>80</v>
      </c>
      <c r="J28" s="14" t="s">
        <v>74</v>
      </c>
      <c r="K28" s="14" t="s">
        <v>75</v>
      </c>
      <c r="L28" s="15"/>
      <c r="M28" s="15"/>
      <c r="N28" s="15"/>
      <c r="O28" s="15"/>
    </row>
    <row r="29" customFormat="false" ht="35.05" hidden="false" customHeight="false" outlineLevel="0" collapsed="false">
      <c r="A29" s="14" t="s">
        <v>178</v>
      </c>
      <c r="B29" s="14" t="s">
        <v>20</v>
      </c>
      <c r="C29" s="14" t="s">
        <v>27</v>
      </c>
      <c r="D29" s="14" t="s">
        <v>179</v>
      </c>
      <c r="E29" s="14" t="s">
        <v>69</v>
      </c>
      <c r="F29" s="14" t="s">
        <v>180</v>
      </c>
      <c r="G29" s="14" t="s">
        <v>181</v>
      </c>
      <c r="H29" s="14" t="s">
        <v>158</v>
      </c>
      <c r="I29" s="14" t="s">
        <v>73</v>
      </c>
      <c r="J29" s="14" t="s">
        <v>74</v>
      </c>
      <c r="K29" s="14" t="s">
        <v>182</v>
      </c>
      <c r="L29" s="15"/>
      <c r="M29" s="15"/>
      <c r="N29" s="15"/>
      <c r="O29" s="15"/>
    </row>
    <row r="30" customFormat="false" ht="35.05" hidden="false" customHeight="false" outlineLevel="0" collapsed="false">
      <c r="A30" s="14" t="s">
        <v>183</v>
      </c>
      <c r="B30" s="14" t="s">
        <v>20</v>
      </c>
      <c r="C30" s="14" t="s">
        <v>27</v>
      </c>
      <c r="D30" s="14" t="s">
        <v>184</v>
      </c>
      <c r="E30" s="14" t="s">
        <v>69</v>
      </c>
      <c r="F30" s="14" t="s">
        <v>185</v>
      </c>
      <c r="G30" s="14" t="s">
        <v>186</v>
      </c>
      <c r="H30" s="14" t="s">
        <v>158</v>
      </c>
      <c r="I30" s="14" t="s">
        <v>73</v>
      </c>
      <c r="J30" s="14" t="s">
        <v>74</v>
      </c>
      <c r="K30" s="14" t="s">
        <v>75</v>
      </c>
      <c r="L30" s="15"/>
      <c r="M30" s="15"/>
      <c r="N30" s="15"/>
      <c r="O30" s="15"/>
    </row>
    <row r="31" customFormat="false" ht="35.05" hidden="false" customHeight="false" outlineLevel="0" collapsed="false">
      <c r="A31" s="14" t="s">
        <v>187</v>
      </c>
      <c r="B31" s="14" t="s">
        <v>20</v>
      </c>
      <c r="C31" s="14" t="s">
        <v>27</v>
      </c>
      <c r="D31" s="14" t="s">
        <v>188</v>
      </c>
      <c r="E31" s="14" t="s">
        <v>69</v>
      </c>
      <c r="F31" s="14" t="s">
        <v>189</v>
      </c>
      <c r="G31" s="14" t="s">
        <v>120</v>
      </c>
      <c r="H31" s="14" t="s">
        <v>158</v>
      </c>
      <c r="I31" s="14" t="s">
        <v>80</v>
      </c>
      <c r="J31" s="14" t="s">
        <v>74</v>
      </c>
      <c r="K31" s="14" t="s">
        <v>75</v>
      </c>
      <c r="L31" s="15"/>
      <c r="M31" s="15"/>
      <c r="N31" s="15"/>
      <c r="O31" s="15"/>
    </row>
    <row r="32" customFormat="false" ht="46.25" hidden="false" customHeight="false" outlineLevel="0" collapsed="false">
      <c r="A32" s="14" t="s">
        <v>190</v>
      </c>
      <c r="B32" s="14" t="s">
        <v>20</v>
      </c>
      <c r="C32" s="14" t="s">
        <v>28</v>
      </c>
      <c r="D32" s="14" t="s">
        <v>191</v>
      </c>
      <c r="E32" s="14" t="s">
        <v>69</v>
      </c>
      <c r="F32" s="14" t="s">
        <v>192</v>
      </c>
      <c r="G32" s="14" t="s">
        <v>193</v>
      </c>
      <c r="H32" s="14" t="s">
        <v>72</v>
      </c>
      <c r="I32" s="14" t="s">
        <v>73</v>
      </c>
      <c r="J32" s="14" t="s">
        <v>74</v>
      </c>
      <c r="K32" s="14" t="s">
        <v>75</v>
      </c>
      <c r="L32" s="15"/>
      <c r="M32" s="15"/>
      <c r="N32" s="15"/>
      <c r="O32" s="15"/>
    </row>
    <row r="33" customFormat="false" ht="46.25" hidden="false" customHeight="false" outlineLevel="0" collapsed="false">
      <c r="A33" s="14" t="s">
        <v>194</v>
      </c>
      <c r="B33" s="14" t="s">
        <v>20</v>
      </c>
      <c r="C33" s="14" t="s">
        <v>28</v>
      </c>
      <c r="D33" s="14" t="s">
        <v>195</v>
      </c>
      <c r="E33" s="14" t="s">
        <v>69</v>
      </c>
      <c r="F33" s="14" t="s">
        <v>196</v>
      </c>
      <c r="G33" s="14" t="s">
        <v>197</v>
      </c>
      <c r="H33" s="14" t="s">
        <v>72</v>
      </c>
      <c r="I33" s="14" t="s">
        <v>73</v>
      </c>
      <c r="J33" s="14" t="s">
        <v>74</v>
      </c>
      <c r="K33" s="14" t="s">
        <v>75</v>
      </c>
      <c r="L33" s="15"/>
      <c r="M33" s="15"/>
      <c r="N33" s="15"/>
      <c r="O33" s="15"/>
    </row>
    <row r="34" customFormat="false" ht="35.05" hidden="false" customHeight="false" outlineLevel="0" collapsed="false">
      <c r="A34" s="14" t="s">
        <v>198</v>
      </c>
      <c r="B34" s="14" t="s">
        <v>20</v>
      </c>
      <c r="C34" s="14" t="s">
        <v>28</v>
      </c>
      <c r="D34" s="14" t="s">
        <v>199</v>
      </c>
      <c r="E34" s="14" t="s">
        <v>69</v>
      </c>
      <c r="F34" s="14" t="s">
        <v>200</v>
      </c>
      <c r="G34" s="14" t="s">
        <v>201</v>
      </c>
      <c r="H34" s="14" t="s">
        <v>72</v>
      </c>
      <c r="I34" s="14" t="s">
        <v>73</v>
      </c>
      <c r="J34" s="14" t="s">
        <v>74</v>
      </c>
      <c r="K34" s="14" t="s">
        <v>75</v>
      </c>
      <c r="L34" s="15"/>
      <c r="M34" s="15"/>
      <c r="N34" s="15"/>
      <c r="O34" s="15"/>
    </row>
    <row r="35" customFormat="false" ht="46.25" hidden="false" customHeight="false" outlineLevel="0" collapsed="false">
      <c r="A35" s="14" t="s">
        <v>202</v>
      </c>
      <c r="B35" s="14" t="s">
        <v>20</v>
      </c>
      <c r="C35" s="14" t="s">
        <v>28</v>
      </c>
      <c r="D35" s="14" t="s">
        <v>203</v>
      </c>
      <c r="E35" s="14" t="s">
        <v>69</v>
      </c>
      <c r="F35" s="14" t="s">
        <v>204</v>
      </c>
      <c r="G35" s="14" t="s">
        <v>205</v>
      </c>
      <c r="H35" s="14" t="s">
        <v>72</v>
      </c>
      <c r="I35" s="14" t="s">
        <v>73</v>
      </c>
      <c r="J35" s="14" t="s">
        <v>74</v>
      </c>
      <c r="K35" s="14" t="s">
        <v>75</v>
      </c>
      <c r="L35" s="15"/>
      <c r="M35" s="15"/>
      <c r="N35" s="15"/>
      <c r="O35" s="15"/>
    </row>
    <row r="36" customFormat="false" ht="46.25" hidden="false" customHeight="false" outlineLevel="0" collapsed="false">
      <c r="A36" s="14" t="s">
        <v>206</v>
      </c>
      <c r="B36" s="14" t="s">
        <v>20</v>
      </c>
      <c r="C36" s="14" t="s">
        <v>28</v>
      </c>
      <c r="D36" s="14" t="s">
        <v>207</v>
      </c>
      <c r="E36" s="14" t="s">
        <v>69</v>
      </c>
      <c r="F36" s="14" t="s">
        <v>208</v>
      </c>
      <c r="G36" s="14" t="s">
        <v>209</v>
      </c>
      <c r="H36" s="14" t="s">
        <v>72</v>
      </c>
      <c r="I36" s="14" t="s">
        <v>73</v>
      </c>
      <c r="J36" s="14" t="s">
        <v>74</v>
      </c>
      <c r="K36" s="14" t="s">
        <v>75</v>
      </c>
      <c r="L36" s="15"/>
      <c r="M36" s="15"/>
      <c r="N36" s="15"/>
      <c r="O36" s="15"/>
    </row>
    <row r="37" customFormat="false" ht="35.05" hidden="false" customHeight="false" outlineLevel="0" collapsed="false">
      <c r="A37" s="14" t="s">
        <v>210</v>
      </c>
      <c r="B37" s="14" t="s">
        <v>20</v>
      </c>
      <c r="C37" s="14" t="s">
        <v>28</v>
      </c>
      <c r="D37" s="14" t="s">
        <v>211</v>
      </c>
      <c r="E37" s="14" t="s">
        <v>69</v>
      </c>
      <c r="F37" s="14" t="s">
        <v>212</v>
      </c>
      <c r="G37" s="14" t="s">
        <v>213</v>
      </c>
      <c r="H37" s="14" t="s">
        <v>72</v>
      </c>
      <c r="I37" s="14" t="s">
        <v>73</v>
      </c>
      <c r="J37" s="14" t="s">
        <v>74</v>
      </c>
      <c r="K37" s="14" t="s">
        <v>75</v>
      </c>
      <c r="L37" s="15"/>
      <c r="M37" s="15"/>
      <c r="N37" s="15"/>
      <c r="O37" s="15"/>
    </row>
    <row r="38" customFormat="false" ht="35.05" hidden="false" customHeight="false" outlineLevel="0" collapsed="false">
      <c r="A38" s="14" t="s">
        <v>214</v>
      </c>
      <c r="B38" s="14" t="s">
        <v>20</v>
      </c>
      <c r="C38" s="14" t="s">
        <v>28</v>
      </c>
      <c r="D38" s="14" t="s">
        <v>215</v>
      </c>
      <c r="E38" s="14" t="s">
        <v>69</v>
      </c>
      <c r="F38" s="14" t="s">
        <v>216</v>
      </c>
      <c r="G38" s="14" t="s">
        <v>120</v>
      </c>
      <c r="H38" s="14" t="s">
        <v>72</v>
      </c>
      <c r="I38" s="14" t="s">
        <v>80</v>
      </c>
      <c r="J38" s="14" t="s">
        <v>74</v>
      </c>
      <c r="K38" s="14" t="s">
        <v>75</v>
      </c>
      <c r="L38" s="15"/>
      <c r="M38" s="15"/>
      <c r="N38" s="15"/>
      <c r="O38" s="15"/>
    </row>
    <row r="39" customFormat="false" ht="46.25" hidden="false" customHeight="false" outlineLevel="0" collapsed="false">
      <c r="A39" s="14" t="s">
        <v>217</v>
      </c>
      <c r="B39" s="14" t="s">
        <v>20</v>
      </c>
      <c r="C39" s="14" t="s">
        <v>29</v>
      </c>
      <c r="D39" s="14" t="s">
        <v>218</v>
      </c>
      <c r="E39" s="14" t="s">
        <v>69</v>
      </c>
      <c r="F39" s="14" t="s">
        <v>219</v>
      </c>
      <c r="G39" s="14" t="s">
        <v>220</v>
      </c>
      <c r="H39" s="14" t="s">
        <v>72</v>
      </c>
      <c r="I39" s="14" t="s">
        <v>73</v>
      </c>
      <c r="J39" s="14" t="s">
        <v>74</v>
      </c>
      <c r="K39" s="14" t="s">
        <v>75</v>
      </c>
      <c r="L39" s="15"/>
      <c r="M39" s="15"/>
      <c r="N39" s="15"/>
      <c r="O39" s="15"/>
    </row>
    <row r="40" customFormat="false" ht="46.25" hidden="false" customHeight="false" outlineLevel="0" collapsed="false">
      <c r="A40" s="14" t="s">
        <v>221</v>
      </c>
      <c r="B40" s="14" t="s">
        <v>20</v>
      </c>
      <c r="C40" s="14" t="s">
        <v>29</v>
      </c>
      <c r="D40" s="14" t="s">
        <v>222</v>
      </c>
      <c r="E40" s="14" t="s">
        <v>69</v>
      </c>
      <c r="F40" s="14" t="s">
        <v>223</v>
      </c>
      <c r="G40" s="14" t="s">
        <v>224</v>
      </c>
      <c r="H40" s="14" t="s">
        <v>72</v>
      </c>
      <c r="I40" s="14" t="s">
        <v>73</v>
      </c>
      <c r="J40" s="14" t="s">
        <v>74</v>
      </c>
      <c r="K40" s="14" t="s">
        <v>75</v>
      </c>
      <c r="L40" s="15"/>
      <c r="M40" s="15"/>
      <c r="N40" s="15"/>
      <c r="O40" s="15"/>
    </row>
    <row r="41" customFormat="false" ht="35.05" hidden="false" customHeight="false" outlineLevel="0" collapsed="false">
      <c r="A41" s="14" t="s">
        <v>225</v>
      </c>
      <c r="B41" s="14" t="s">
        <v>20</v>
      </c>
      <c r="C41" s="14" t="s">
        <v>29</v>
      </c>
      <c r="D41" s="14" t="s">
        <v>226</v>
      </c>
      <c r="E41" s="14" t="s">
        <v>69</v>
      </c>
      <c r="F41" s="14" t="s">
        <v>227</v>
      </c>
      <c r="G41" s="14" t="s">
        <v>228</v>
      </c>
      <c r="H41" s="14" t="s">
        <v>72</v>
      </c>
      <c r="I41" s="14" t="s">
        <v>73</v>
      </c>
      <c r="J41" s="14" t="s">
        <v>74</v>
      </c>
      <c r="K41" s="14" t="s">
        <v>75</v>
      </c>
      <c r="L41" s="15"/>
      <c r="M41" s="15"/>
      <c r="N41" s="15"/>
      <c r="O41" s="15"/>
    </row>
    <row r="42" customFormat="false" ht="35.05" hidden="false" customHeight="false" outlineLevel="0" collapsed="false">
      <c r="A42" s="14" t="s">
        <v>229</v>
      </c>
      <c r="B42" s="14" t="s">
        <v>20</v>
      </c>
      <c r="C42" s="14" t="s">
        <v>29</v>
      </c>
      <c r="D42" s="14" t="s">
        <v>230</v>
      </c>
      <c r="E42" s="14" t="s">
        <v>69</v>
      </c>
      <c r="F42" s="14" t="s">
        <v>231</v>
      </c>
      <c r="G42" s="14" t="s">
        <v>120</v>
      </c>
      <c r="H42" s="14" t="s">
        <v>72</v>
      </c>
      <c r="I42" s="14" t="s">
        <v>80</v>
      </c>
      <c r="J42" s="14" t="s">
        <v>74</v>
      </c>
      <c r="K42" s="14" t="s">
        <v>75</v>
      </c>
      <c r="L42" s="15"/>
      <c r="M42" s="15"/>
      <c r="N42" s="15"/>
      <c r="O42" s="15"/>
    </row>
    <row r="43" customFormat="false" ht="35.05" hidden="false" customHeight="false" outlineLevel="0" collapsed="false">
      <c r="A43" s="14" t="s">
        <v>232</v>
      </c>
      <c r="B43" s="14" t="s">
        <v>20</v>
      </c>
      <c r="C43" s="14" t="s">
        <v>29</v>
      </c>
      <c r="D43" s="14" t="s">
        <v>233</v>
      </c>
      <c r="E43" s="14" t="s">
        <v>69</v>
      </c>
      <c r="F43" s="14" t="s">
        <v>234</v>
      </c>
      <c r="G43" s="14" t="s">
        <v>235</v>
      </c>
      <c r="H43" s="14" t="s">
        <v>72</v>
      </c>
      <c r="I43" s="14" t="s">
        <v>73</v>
      </c>
      <c r="J43" s="14" t="s">
        <v>74</v>
      </c>
      <c r="K43" s="14" t="s">
        <v>75</v>
      </c>
      <c r="L43" s="15"/>
      <c r="M43" s="15"/>
      <c r="N43" s="15"/>
      <c r="O43" s="15"/>
    </row>
    <row r="44" customFormat="false" ht="35.05" hidden="false" customHeight="false" outlineLevel="0" collapsed="false">
      <c r="A44" s="14" t="s">
        <v>236</v>
      </c>
      <c r="B44" s="14" t="s">
        <v>20</v>
      </c>
      <c r="C44" s="14" t="s">
        <v>29</v>
      </c>
      <c r="D44" s="14" t="s">
        <v>237</v>
      </c>
      <c r="E44" s="14" t="s">
        <v>69</v>
      </c>
      <c r="F44" s="14" t="s">
        <v>238</v>
      </c>
      <c r="G44" s="14" t="s">
        <v>239</v>
      </c>
      <c r="H44" s="14" t="s">
        <v>72</v>
      </c>
      <c r="I44" s="14" t="s">
        <v>73</v>
      </c>
      <c r="J44" s="14" t="s">
        <v>74</v>
      </c>
      <c r="K44" s="14" t="s">
        <v>75</v>
      </c>
      <c r="L44" s="15"/>
      <c r="M44" s="15"/>
      <c r="N44" s="15"/>
      <c r="O44" s="15"/>
    </row>
    <row r="45" customFormat="false" ht="35.05" hidden="false" customHeight="false" outlineLevel="0" collapsed="false">
      <c r="A45" s="14" t="s">
        <v>240</v>
      </c>
      <c r="B45" s="14" t="s">
        <v>20</v>
      </c>
      <c r="C45" s="14" t="s">
        <v>29</v>
      </c>
      <c r="D45" s="14" t="s">
        <v>241</v>
      </c>
      <c r="E45" s="14" t="s">
        <v>69</v>
      </c>
      <c r="F45" s="14" t="s">
        <v>242</v>
      </c>
      <c r="G45" s="14" t="s">
        <v>120</v>
      </c>
      <c r="H45" s="14" t="s">
        <v>72</v>
      </c>
      <c r="I45" s="14" t="s">
        <v>80</v>
      </c>
      <c r="J45" s="14" t="s">
        <v>74</v>
      </c>
      <c r="K45" s="14" t="s">
        <v>75</v>
      </c>
      <c r="L45" s="15"/>
      <c r="M45" s="15"/>
      <c r="N45" s="15"/>
      <c r="O45" s="15"/>
    </row>
    <row r="46" customFormat="false" ht="35.05" hidden="false" customHeight="false" outlineLevel="0" collapsed="false">
      <c r="A46" s="14" t="s">
        <v>243</v>
      </c>
      <c r="B46" s="14" t="s">
        <v>20</v>
      </c>
      <c r="C46" s="14" t="s">
        <v>29</v>
      </c>
      <c r="D46" s="14" t="s">
        <v>244</v>
      </c>
      <c r="E46" s="14" t="s">
        <v>69</v>
      </c>
      <c r="F46" s="14" t="s">
        <v>245</v>
      </c>
      <c r="G46" s="14" t="s">
        <v>246</v>
      </c>
      <c r="H46" s="14" t="s">
        <v>72</v>
      </c>
      <c r="I46" s="14" t="s">
        <v>73</v>
      </c>
      <c r="J46" s="14" t="s">
        <v>74</v>
      </c>
      <c r="K46" s="14" t="s">
        <v>75</v>
      </c>
      <c r="L46" s="15"/>
      <c r="M46" s="15"/>
      <c r="N46" s="15"/>
      <c r="O46" s="15"/>
    </row>
    <row r="47" customFormat="false" ht="35.05" hidden="false" customHeight="false" outlineLevel="0" collapsed="false">
      <c r="A47" s="14" t="s">
        <v>247</v>
      </c>
      <c r="B47" s="14" t="s">
        <v>20</v>
      </c>
      <c r="C47" s="14" t="s">
        <v>29</v>
      </c>
      <c r="D47" s="14" t="s">
        <v>248</v>
      </c>
      <c r="E47" s="14" t="s">
        <v>69</v>
      </c>
      <c r="F47" s="14" t="s">
        <v>249</v>
      </c>
      <c r="G47" s="14" t="s">
        <v>250</v>
      </c>
      <c r="H47" s="14" t="s">
        <v>72</v>
      </c>
      <c r="I47" s="14" t="s">
        <v>73</v>
      </c>
      <c r="J47" s="14" t="s">
        <v>74</v>
      </c>
      <c r="K47" s="14" t="s">
        <v>75</v>
      </c>
      <c r="L47" s="15"/>
      <c r="M47" s="15"/>
      <c r="N47" s="15"/>
      <c r="O47" s="15"/>
    </row>
    <row r="48" customFormat="false" ht="35.05" hidden="false" customHeight="false" outlineLevel="0" collapsed="false">
      <c r="A48" s="14" t="s">
        <v>251</v>
      </c>
      <c r="B48" s="14" t="s">
        <v>20</v>
      </c>
      <c r="C48" s="14" t="s">
        <v>30</v>
      </c>
      <c r="D48" s="14" t="s">
        <v>252</v>
      </c>
      <c r="E48" s="14" t="s">
        <v>69</v>
      </c>
      <c r="F48" s="14" t="s">
        <v>253</v>
      </c>
      <c r="G48" s="14" t="s">
        <v>254</v>
      </c>
      <c r="H48" s="14" t="s">
        <v>158</v>
      </c>
      <c r="I48" s="14" t="s">
        <v>73</v>
      </c>
      <c r="J48" s="14" t="s">
        <v>74</v>
      </c>
      <c r="K48" s="14" t="s">
        <v>75</v>
      </c>
      <c r="L48" s="15"/>
      <c r="M48" s="15"/>
      <c r="N48" s="15"/>
      <c r="O48" s="15"/>
    </row>
    <row r="49" customFormat="false" ht="35.05" hidden="false" customHeight="false" outlineLevel="0" collapsed="false">
      <c r="A49" s="14" t="s">
        <v>255</v>
      </c>
      <c r="B49" s="14" t="s">
        <v>20</v>
      </c>
      <c r="C49" s="14" t="s">
        <v>31</v>
      </c>
      <c r="D49" s="14" t="s">
        <v>256</v>
      </c>
      <c r="E49" s="14" t="s">
        <v>257</v>
      </c>
      <c r="F49" s="14" t="s">
        <v>258</v>
      </c>
      <c r="G49" s="14" t="s">
        <v>259</v>
      </c>
      <c r="H49" s="14" t="s">
        <v>158</v>
      </c>
      <c r="I49" s="14" t="s">
        <v>73</v>
      </c>
      <c r="J49" s="14" t="s">
        <v>74</v>
      </c>
      <c r="K49" s="14" t="s">
        <v>75</v>
      </c>
      <c r="L49" s="15"/>
      <c r="M49" s="15"/>
      <c r="N49" s="15"/>
      <c r="O49" s="15"/>
    </row>
    <row r="50" customFormat="false" ht="46.25" hidden="false" customHeight="false" outlineLevel="0" collapsed="false">
      <c r="A50" s="14" t="s">
        <v>260</v>
      </c>
      <c r="B50" s="14" t="s">
        <v>20</v>
      </c>
      <c r="C50" s="14" t="s">
        <v>31</v>
      </c>
      <c r="D50" s="14" t="s">
        <v>261</v>
      </c>
      <c r="E50" s="14" t="s">
        <v>257</v>
      </c>
      <c r="F50" s="14" t="s">
        <v>262</v>
      </c>
      <c r="G50" s="14" t="s">
        <v>263</v>
      </c>
      <c r="H50" s="14" t="s">
        <v>158</v>
      </c>
      <c r="I50" s="14" t="s">
        <v>73</v>
      </c>
      <c r="J50" s="14" t="s">
        <v>74</v>
      </c>
      <c r="K50" s="14" t="s">
        <v>75</v>
      </c>
      <c r="L50" s="15"/>
      <c r="M50" s="15"/>
      <c r="N50" s="15"/>
      <c r="O50" s="15"/>
    </row>
    <row r="51" customFormat="false" ht="46.25" hidden="false" customHeight="false" outlineLevel="0" collapsed="false">
      <c r="A51" s="14" t="s">
        <v>264</v>
      </c>
      <c r="B51" s="14" t="s">
        <v>39</v>
      </c>
      <c r="C51" s="14" t="s">
        <v>40</v>
      </c>
      <c r="D51" s="14" t="s">
        <v>265</v>
      </c>
      <c r="E51" s="14" t="s">
        <v>266</v>
      </c>
      <c r="F51" s="14" t="s">
        <v>267</v>
      </c>
      <c r="G51" s="14" t="s">
        <v>268</v>
      </c>
      <c r="H51" s="14" t="s">
        <v>72</v>
      </c>
      <c r="I51" s="14" t="s">
        <v>73</v>
      </c>
      <c r="J51" s="14" t="s">
        <v>74</v>
      </c>
      <c r="K51" s="14" t="s">
        <v>75</v>
      </c>
      <c r="L51" s="15"/>
      <c r="M51" s="15"/>
      <c r="N51" s="15"/>
      <c r="O51" s="15"/>
    </row>
    <row r="52" customFormat="false" ht="46.25" hidden="false" customHeight="false" outlineLevel="0" collapsed="false">
      <c r="A52" s="14" t="s">
        <v>269</v>
      </c>
      <c r="B52" s="14" t="s">
        <v>39</v>
      </c>
      <c r="C52" s="14" t="s">
        <v>40</v>
      </c>
      <c r="D52" s="14" t="s">
        <v>270</v>
      </c>
      <c r="E52" s="14" t="s">
        <v>266</v>
      </c>
      <c r="F52" s="14" t="s">
        <v>271</v>
      </c>
      <c r="G52" s="14" t="s">
        <v>272</v>
      </c>
      <c r="H52" s="14" t="s">
        <v>72</v>
      </c>
      <c r="I52" s="14" t="s">
        <v>73</v>
      </c>
      <c r="J52" s="14" t="s">
        <v>74</v>
      </c>
      <c r="K52" s="14" t="s">
        <v>75</v>
      </c>
      <c r="L52" s="15"/>
      <c r="M52" s="15"/>
      <c r="N52" s="15"/>
      <c r="O52" s="15"/>
    </row>
    <row r="53" customFormat="false" ht="46.25" hidden="false" customHeight="false" outlineLevel="0" collapsed="false">
      <c r="A53" s="14" t="s">
        <v>273</v>
      </c>
      <c r="B53" s="14" t="s">
        <v>39</v>
      </c>
      <c r="C53" s="14" t="s">
        <v>40</v>
      </c>
      <c r="D53" s="14" t="s">
        <v>274</v>
      </c>
      <c r="E53" s="14" t="s">
        <v>266</v>
      </c>
      <c r="F53" s="14" t="s">
        <v>275</v>
      </c>
      <c r="G53" s="14" t="s">
        <v>276</v>
      </c>
      <c r="H53" s="14" t="s">
        <v>72</v>
      </c>
      <c r="I53" s="14" t="s">
        <v>80</v>
      </c>
      <c r="J53" s="14" t="s">
        <v>74</v>
      </c>
      <c r="K53" s="14" t="s">
        <v>75</v>
      </c>
      <c r="L53" s="15"/>
      <c r="M53" s="15"/>
      <c r="N53" s="15"/>
      <c r="O53" s="15"/>
    </row>
    <row r="54" customFormat="false" ht="46.25" hidden="false" customHeight="false" outlineLevel="0" collapsed="false">
      <c r="A54" s="14" t="s">
        <v>277</v>
      </c>
      <c r="B54" s="14" t="s">
        <v>39</v>
      </c>
      <c r="C54" s="14" t="s">
        <v>40</v>
      </c>
      <c r="D54" s="14" t="s">
        <v>278</v>
      </c>
      <c r="E54" s="14" t="s">
        <v>266</v>
      </c>
      <c r="F54" s="14" t="s">
        <v>279</v>
      </c>
      <c r="G54" s="14" t="s">
        <v>280</v>
      </c>
      <c r="H54" s="14" t="s">
        <v>72</v>
      </c>
      <c r="I54" s="14" t="s">
        <v>73</v>
      </c>
      <c r="J54" s="14" t="s">
        <v>74</v>
      </c>
      <c r="K54" s="14" t="s">
        <v>75</v>
      </c>
      <c r="L54" s="15"/>
      <c r="M54" s="15"/>
      <c r="N54" s="15"/>
      <c r="O54" s="15"/>
    </row>
    <row r="55" customFormat="false" ht="46.25" hidden="false" customHeight="false" outlineLevel="0" collapsed="false">
      <c r="A55" s="14" t="s">
        <v>281</v>
      </c>
      <c r="B55" s="14" t="s">
        <v>39</v>
      </c>
      <c r="C55" s="14" t="s">
        <v>40</v>
      </c>
      <c r="D55" s="14" t="s">
        <v>282</v>
      </c>
      <c r="E55" s="14" t="s">
        <v>266</v>
      </c>
      <c r="F55" s="14" t="s">
        <v>283</v>
      </c>
      <c r="G55" s="14" t="s">
        <v>284</v>
      </c>
      <c r="H55" s="14" t="s">
        <v>72</v>
      </c>
      <c r="I55" s="14" t="s">
        <v>73</v>
      </c>
      <c r="J55" s="14" t="s">
        <v>74</v>
      </c>
      <c r="K55" s="14" t="s">
        <v>75</v>
      </c>
      <c r="L55" s="15"/>
      <c r="M55" s="15"/>
      <c r="N55" s="15"/>
      <c r="O55" s="15"/>
    </row>
    <row r="56" customFormat="false" ht="46.25" hidden="false" customHeight="false" outlineLevel="0" collapsed="false">
      <c r="A56" s="14" t="s">
        <v>285</v>
      </c>
      <c r="B56" s="14" t="s">
        <v>39</v>
      </c>
      <c r="C56" s="14" t="s">
        <v>40</v>
      </c>
      <c r="D56" s="14" t="s">
        <v>286</v>
      </c>
      <c r="E56" s="14" t="s">
        <v>266</v>
      </c>
      <c r="F56" s="14" t="s">
        <v>287</v>
      </c>
      <c r="G56" s="14" t="s">
        <v>288</v>
      </c>
      <c r="H56" s="14" t="s">
        <v>72</v>
      </c>
      <c r="I56" s="14" t="s">
        <v>73</v>
      </c>
      <c r="J56" s="14" t="s">
        <v>74</v>
      </c>
      <c r="K56" s="14" t="s">
        <v>75</v>
      </c>
      <c r="L56" s="15"/>
      <c r="M56" s="15"/>
      <c r="N56" s="15"/>
      <c r="O56" s="15"/>
    </row>
    <row r="57" customFormat="false" ht="35.05" hidden="false" customHeight="false" outlineLevel="0" collapsed="false">
      <c r="A57" s="14" t="s">
        <v>289</v>
      </c>
      <c r="B57" s="14" t="s">
        <v>39</v>
      </c>
      <c r="C57" s="14" t="s">
        <v>41</v>
      </c>
      <c r="D57" s="14" t="s">
        <v>290</v>
      </c>
      <c r="E57" s="14" t="s">
        <v>291</v>
      </c>
      <c r="F57" s="14" t="s">
        <v>292</v>
      </c>
      <c r="G57" s="14" t="s">
        <v>293</v>
      </c>
      <c r="H57" s="14" t="s">
        <v>72</v>
      </c>
      <c r="I57" s="14" t="s">
        <v>73</v>
      </c>
      <c r="J57" s="14" t="s">
        <v>74</v>
      </c>
      <c r="K57" s="14" t="s">
        <v>75</v>
      </c>
      <c r="L57" s="15"/>
      <c r="M57" s="15"/>
      <c r="N57" s="15"/>
      <c r="O57" s="15"/>
    </row>
    <row r="58" customFormat="false" ht="35.05" hidden="false" customHeight="false" outlineLevel="0" collapsed="false">
      <c r="A58" s="14" t="s">
        <v>294</v>
      </c>
      <c r="B58" s="14" t="s">
        <v>39</v>
      </c>
      <c r="C58" s="14" t="s">
        <v>41</v>
      </c>
      <c r="D58" s="14" t="s">
        <v>295</v>
      </c>
      <c r="E58" s="14" t="s">
        <v>291</v>
      </c>
      <c r="F58" s="14" t="s">
        <v>296</v>
      </c>
      <c r="G58" s="14" t="s">
        <v>297</v>
      </c>
      <c r="H58" s="14" t="s">
        <v>72</v>
      </c>
      <c r="I58" s="14" t="s">
        <v>80</v>
      </c>
      <c r="J58" s="14" t="s">
        <v>74</v>
      </c>
      <c r="K58" s="14" t="s">
        <v>75</v>
      </c>
      <c r="L58" s="15"/>
      <c r="M58" s="15"/>
      <c r="N58" s="15"/>
      <c r="O58" s="15"/>
    </row>
    <row r="59" customFormat="false" ht="35.05" hidden="false" customHeight="false" outlineLevel="0" collapsed="false">
      <c r="A59" s="14" t="s">
        <v>298</v>
      </c>
      <c r="B59" s="14" t="s">
        <v>39</v>
      </c>
      <c r="C59" s="14" t="s">
        <v>41</v>
      </c>
      <c r="D59" s="14" t="s">
        <v>299</v>
      </c>
      <c r="E59" s="14" t="s">
        <v>291</v>
      </c>
      <c r="F59" s="14" t="s">
        <v>300</v>
      </c>
      <c r="G59" s="14" t="s">
        <v>263</v>
      </c>
      <c r="H59" s="14" t="s">
        <v>72</v>
      </c>
      <c r="I59" s="14" t="s">
        <v>80</v>
      </c>
      <c r="J59" s="14" t="s">
        <v>74</v>
      </c>
      <c r="K59" s="14" t="s">
        <v>75</v>
      </c>
      <c r="L59" s="15"/>
      <c r="M59" s="15"/>
      <c r="N59" s="15"/>
      <c r="O59" s="15"/>
    </row>
    <row r="60" customFormat="false" ht="35.05" hidden="false" customHeight="false" outlineLevel="0" collapsed="false">
      <c r="A60" s="14" t="s">
        <v>301</v>
      </c>
      <c r="B60" s="14" t="s">
        <v>39</v>
      </c>
      <c r="C60" s="14" t="s">
        <v>41</v>
      </c>
      <c r="D60" s="14" t="s">
        <v>302</v>
      </c>
      <c r="E60" s="14" t="s">
        <v>291</v>
      </c>
      <c r="F60" s="14" t="s">
        <v>303</v>
      </c>
      <c r="G60" s="14" t="s">
        <v>263</v>
      </c>
      <c r="H60" s="14" t="s">
        <v>72</v>
      </c>
      <c r="I60" s="14" t="s">
        <v>80</v>
      </c>
      <c r="J60" s="14" t="s">
        <v>74</v>
      </c>
      <c r="K60" s="14" t="s">
        <v>75</v>
      </c>
      <c r="L60" s="15"/>
      <c r="M60" s="15"/>
      <c r="N60" s="15"/>
      <c r="O60" s="15"/>
    </row>
    <row r="61" customFormat="false" ht="35.05" hidden="false" customHeight="false" outlineLevel="0" collapsed="false">
      <c r="A61" s="14" t="s">
        <v>304</v>
      </c>
      <c r="B61" s="14" t="s">
        <v>39</v>
      </c>
      <c r="C61" s="14" t="s">
        <v>41</v>
      </c>
      <c r="D61" s="14" t="s">
        <v>305</v>
      </c>
      <c r="E61" s="14" t="s">
        <v>291</v>
      </c>
      <c r="F61" s="14" t="s">
        <v>306</v>
      </c>
      <c r="G61" s="14" t="s">
        <v>263</v>
      </c>
      <c r="H61" s="14" t="s">
        <v>72</v>
      </c>
      <c r="I61" s="14" t="s">
        <v>80</v>
      </c>
      <c r="J61" s="14" t="s">
        <v>74</v>
      </c>
      <c r="K61" s="14" t="s">
        <v>75</v>
      </c>
      <c r="L61" s="15"/>
      <c r="M61" s="15"/>
      <c r="N61" s="15"/>
      <c r="O61" s="15"/>
    </row>
    <row r="62" customFormat="false" ht="46.25" hidden="false" customHeight="false" outlineLevel="0" collapsed="false">
      <c r="A62" s="14" t="s">
        <v>307</v>
      </c>
      <c r="B62" s="14" t="s">
        <v>39</v>
      </c>
      <c r="C62" s="14" t="s">
        <v>41</v>
      </c>
      <c r="D62" s="14" t="s">
        <v>308</v>
      </c>
      <c r="E62" s="14" t="s">
        <v>291</v>
      </c>
      <c r="F62" s="14" t="s">
        <v>309</v>
      </c>
      <c r="G62" s="14" t="s">
        <v>310</v>
      </c>
      <c r="H62" s="14" t="s">
        <v>72</v>
      </c>
      <c r="I62" s="14" t="s">
        <v>73</v>
      </c>
      <c r="J62" s="14" t="s">
        <v>74</v>
      </c>
      <c r="K62" s="14" t="s">
        <v>75</v>
      </c>
      <c r="L62" s="15"/>
      <c r="M62" s="15"/>
      <c r="N62" s="15"/>
      <c r="O62" s="15"/>
    </row>
    <row r="63" customFormat="false" ht="35.05" hidden="false" customHeight="false" outlineLevel="0" collapsed="false">
      <c r="A63" s="14" t="s">
        <v>311</v>
      </c>
      <c r="B63" s="14" t="s">
        <v>39</v>
      </c>
      <c r="C63" s="14" t="s">
        <v>41</v>
      </c>
      <c r="D63" s="14" t="s">
        <v>312</v>
      </c>
      <c r="E63" s="14" t="s">
        <v>291</v>
      </c>
      <c r="F63" s="14" t="s">
        <v>313</v>
      </c>
      <c r="G63" s="14" t="s">
        <v>314</v>
      </c>
      <c r="H63" s="14" t="s">
        <v>72</v>
      </c>
      <c r="I63" s="14" t="s">
        <v>73</v>
      </c>
      <c r="J63" s="14" t="s">
        <v>74</v>
      </c>
      <c r="K63" s="14" t="s">
        <v>75</v>
      </c>
      <c r="L63" s="15"/>
      <c r="M63" s="15"/>
      <c r="N63" s="15"/>
      <c r="O63" s="15"/>
    </row>
    <row r="64" customFormat="false" ht="35.05" hidden="false" customHeight="false" outlineLevel="0" collapsed="false">
      <c r="A64" s="14" t="s">
        <v>315</v>
      </c>
      <c r="B64" s="14" t="s">
        <v>39</v>
      </c>
      <c r="C64" s="14" t="s">
        <v>41</v>
      </c>
      <c r="D64" s="14" t="s">
        <v>316</v>
      </c>
      <c r="E64" s="14" t="s">
        <v>291</v>
      </c>
      <c r="F64" s="14" t="s">
        <v>317</v>
      </c>
      <c r="G64" s="14" t="s">
        <v>263</v>
      </c>
      <c r="H64" s="14" t="s">
        <v>72</v>
      </c>
      <c r="I64" s="14" t="s">
        <v>80</v>
      </c>
      <c r="J64" s="14" t="s">
        <v>74</v>
      </c>
      <c r="K64" s="14" t="s">
        <v>75</v>
      </c>
      <c r="L64" s="15"/>
      <c r="M64" s="15"/>
      <c r="N64" s="15"/>
      <c r="O64" s="15"/>
    </row>
    <row r="65" customFormat="false" ht="35.05" hidden="false" customHeight="false" outlineLevel="0" collapsed="false">
      <c r="A65" s="14" t="s">
        <v>318</v>
      </c>
      <c r="B65" s="14" t="s">
        <v>39</v>
      </c>
      <c r="C65" s="14" t="s">
        <v>41</v>
      </c>
      <c r="D65" s="14" t="s">
        <v>319</v>
      </c>
      <c r="E65" s="14" t="s">
        <v>291</v>
      </c>
      <c r="F65" s="14" t="s">
        <v>320</v>
      </c>
      <c r="G65" s="14" t="s">
        <v>293</v>
      </c>
      <c r="H65" s="14" t="s">
        <v>72</v>
      </c>
      <c r="I65" s="14" t="s">
        <v>73</v>
      </c>
      <c r="J65" s="14" t="s">
        <v>74</v>
      </c>
      <c r="K65" s="14" t="s">
        <v>75</v>
      </c>
      <c r="L65" s="15"/>
      <c r="M65" s="15"/>
      <c r="N65" s="15"/>
      <c r="O65" s="15"/>
    </row>
    <row r="66" customFormat="false" ht="57.45" hidden="false" customHeight="false" outlineLevel="0" collapsed="false">
      <c r="A66" s="14" t="s">
        <v>321</v>
      </c>
      <c r="B66" s="14" t="s">
        <v>39</v>
      </c>
      <c r="C66" s="14" t="s">
        <v>40</v>
      </c>
      <c r="D66" s="14" t="s">
        <v>322</v>
      </c>
      <c r="E66" s="14" t="s">
        <v>266</v>
      </c>
      <c r="F66" s="14" t="s">
        <v>323</v>
      </c>
      <c r="G66" s="14" t="s">
        <v>324</v>
      </c>
      <c r="H66" s="14" t="s">
        <v>72</v>
      </c>
      <c r="I66" s="14" t="s">
        <v>73</v>
      </c>
      <c r="J66" s="14" t="s">
        <v>74</v>
      </c>
      <c r="K66" s="14" t="s">
        <v>75</v>
      </c>
      <c r="L66" s="15"/>
      <c r="M66" s="15"/>
      <c r="N66" s="15"/>
      <c r="O66" s="15"/>
    </row>
    <row r="67" customFormat="false" ht="46.25" hidden="false" customHeight="false" outlineLevel="0" collapsed="false">
      <c r="A67" s="14" t="s">
        <v>325</v>
      </c>
      <c r="B67" s="14" t="s">
        <v>39</v>
      </c>
      <c r="C67" s="14" t="s">
        <v>40</v>
      </c>
      <c r="D67" s="14" t="s">
        <v>326</v>
      </c>
      <c r="E67" s="14" t="s">
        <v>266</v>
      </c>
      <c r="F67" s="14" t="s">
        <v>327</v>
      </c>
      <c r="G67" s="14" t="s">
        <v>328</v>
      </c>
      <c r="H67" s="14" t="s">
        <v>72</v>
      </c>
      <c r="I67" s="14" t="s">
        <v>73</v>
      </c>
      <c r="J67" s="14" t="s">
        <v>74</v>
      </c>
      <c r="K67" s="14" t="s">
        <v>75</v>
      </c>
      <c r="L67" s="15"/>
      <c r="M67" s="15"/>
      <c r="N67" s="15"/>
      <c r="O67" s="15"/>
    </row>
    <row r="68" customFormat="false" ht="46.25" hidden="false" customHeight="false" outlineLevel="0" collapsed="false">
      <c r="A68" s="14" t="s">
        <v>329</v>
      </c>
      <c r="B68" s="14" t="s">
        <v>39</v>
      </c>
      <c r="C68" s="14" t="s">
        <v>40</v>
      </c>
      <c r="D68" s="14" t="s">
        <v>330</v>
      </c>
      <c r="E68" s="14" t="s">
        <v>266</v>
      </c>
      <c r="F68" s="14" t="s">
        <v>331</v>
      </c>
      <c r="G68" s="14" t="s">
        <v>332</v>
      </c>
      <c r="H68" s="14" t="s">
        <v>72</v>
      </c>
      <c r="I68" s="14" t="s">
        <v>73</v>
      </c>
      <c r="J68" s="14" t="s">
        <v>74</v>
      </c>
      <c r="K68" s="14" t="s">
        <v>75</v>
      </c>
      <c r="L68" s="15"/>
      <c r="M68" s="15"/>
      <c r="N68" s="15"/>
      <c r="O68" s="15"/>
    </row>
    <row r="69" customFormat="false" ht="46.25" hidden="false" customHeight="false" outlineLevel="0" collapsed="false">
      <c r="A69" s="14" t="s">
        <v>333</v>
      </c>
      <c r="B69" s="14" t="s">
        <v>39</v>
      </c>
      <c r="C69" s="14" t="s">
        <v>40</v>
      </c>
      <c r="D69" s="14" t="s">
        <v>334</v>
      </c>
      <c r="E69" s="14" t="s">
        <v>266</v>
      </c>
      <c r="F69" s="14" t="s">
        <v>335</v>
      </c>
      <c r="G69" s="14" t="s">
        <v>336</v>
      </c>
      <c r="H69" s="14" t="s">
        <v>72</v>
      </c>
      <c r="I69" s="14" t="s">
        <v>80</v>
      </c>
      <c r="J69" s="14" t="s">
        <v>74</v>
      </c>
      <c r="K69" s="14" t="s">
        <v>75</v>
      </c>
      <c r="L69" s="15"/>
      <c r="M69" s="15"/>
      <c r="N69" s="15"/>
      <c r="O69" s="15"/>
    </row>
    <row r="70" customFormat="false" ht="46.25" hidden="false" customHeight="false" outlineLevel="0" collapsed="false">
      <c r="A70" s="14" t="s">
        <v>337</v>
      </c>
      <c r="B70" s="14" t="s">
        <v>39</v>
      </c>
      <c r="C70" s="14" t="s">
        <v>40</v>
      </c>
      <c r="D70" s="14" t="s">
        <v>338</v>
      </c>
      <c r="E70" s="14" t="s">
        <v>266</v>
      </c>
      <c r="F70" s="14" t="s">
        <v>339</v>
      </c>
      <c r="G70" s="14" t="s">
        <v>340</v>
      </c>
      <c r="H70" s="14" t="s">
        <v>72</v>
      </c>
      <c r="I70" s="14" t="s">
        <v>80</v>
      </c>
      <c r="J70" s="14" t="s">
        <v>74</v>
      </c>
      <c r="K70" s="14" t="s">
        <v>75</v>
      </c>
      <c r="L70" s="15"/>
      <c r="M70" s="15"/>
      <c r="N70" s="15"/>
      <c r="O70" s="15"/>
    </row>
    <row r="71" customFormat="false" ht="46.25" hidden="false" customHeight="false" outlineLevel="0" collapsed="false">
      <c r="A71" s="14" t="s">
        <v>341</v>
      </c>
      <c r="B71" s="14" t="s">
        <v>39</v>
      </c>
      <c r="C71" s="14" t="s">
        <v>40</v>
      </c>
      <c r="D71" s="14" t="s">
        <v>342</v>
      </c>
      <c r="E71" s="14" t="s">
        <v>266</v>
      </c>
      <c r="F71" s="14" t="s">
        <v>343</v>
      </c>
      <c r="G71" s="14" t="s">
        <v>344</v>
      </c>
      <c r="H71" s="14" t="s">
        <v>72</v>
      </c>
      <c r="I71" s="14" t="s">
        <v>73</v>
      </c>
      <c r="J71" s="14" t="s">
        <v>74</v>
      </c>
      <c r="K71" s="14" t="s">
        <v>75</v>
      </c>
      <c r="L71" s="15"/>
      <c r="M71" s="15"/>
      <c r="N71" s="15"/>
      <c r="O71" s="15"/>
    </row>
    <row r="72" customFormat="false" ht="46.25" hidden="false" customHeight="false" outlineLevel="0" collapsed="false">
      <c r="A72" s="14" t="s">
        <v>345</v>
      </c>
      <c r="B72" s="14" t="s">
        <v>39</v>
      </c>
      <c r="C72" s="14" t="s">
        <v>40</v>
      </c>
      <c r="D72" s="14" t="s">
        <v>346</v>
      </c>
      <c r="E72" s="14" t="s">
        <v>266</v>
      </c>
      <c r="F72" s="14" t="s">
        <v>347</v>
      </c>
      <c r="G72" s="14" t="s">
        <v>348</v>
      </c>
      <c r="H72" s="14" t="s">
        <v>72</v>
      </c>
      <c r="I72" s="14" t="s">
        <v>80</v>
      </c>
      <c r="J72" s="14" t="s">
        <v>74</v>
      </c>
      <c r="K72" s="14" t="s">
        <v>75</v>
      </c>
      <c r="L72" s="15"/>
      <c r="M72" s="15"/>
      <c r="N72" s="15"/>
      <c r="O72" s="15"/>
    </row>
    <row r="73" customFormat="false" ht="35.05" hidden="false" customHeight="false" outlineLevel="0" collapsed="false">
      <c r="A73" s="14" t="s">
        <v>349</v>
      </c>
      <c r="B73" s="14" t="s">
        <v>39</v>
      </c>
      <c r="C73" s="14" t="s">
        <v>42</v>
      </c>
      <c r="D73" s="14" t="s">
        <v>350</v>
      </c>
      <c r="E73" s="14" t="s">
        <v>351</v>
      </c>
      <c r="F73" s="14" t="s">
        <v>352</v>
      </c>
      <c r="G73" s="14" t="s">
        <v>353</v>
      </c>
      <c r="H73" s="14" t="s">
        <v>72</v>
      </c>
      <c r="I73" s="14" t="s">
        <v>73</v>
      </c>
      <c r="J73" s="14" t="s">
        <v>74</v>
      </c>
      <c r="K73" s="14" t="s">
        <v>75</v>
      </c>
      <c r="L73" s="15"/>
      <c r="M73" s="15"/>
      <c r="N73" s="15"/>
      <c r="O73" s="15"/>
    </row>
    <row r="74" customFormat="false" ht="35.05" hidden="false" customHeight="false" outlineLevel="0" collapsed="false">
      <c r="A74" s="14" t="s">
        <v>354</v>
      </c>
      <c r="B74" s="14" t="s">
        <v>39</v>
      </c>
      <c r="C74" s="14" t="s">
        <v>42</v>
      </c>
      <c r="D74" s="14" t="s">
        <v>355</v>
      </c>
      <c r="E74" s="14" t="s">
        <v>351</v>
      </c>
      <c r="F74" s="14" t="s">
        <v>356</v>
      </c>
      <c r="G74" s="14" t="s">
        <v>357</v>
      </c>
      <c r="H74" s="14" t="s">
        <v>72</v>
      </c>
      <c r="I74" s="14" t="s">
        <v>73</v>
      </c>
      <c r="J74" s="14" t="s">
        <v>74</v>
      </c>
      <c r="K74" s="14" t="s">
        <v>75</v>
      </c>
      <c r="L74" s="15"/>
      <c r="M74" s="15"/>
      <c r="N74" s="15"/>
      <c r="O74" s="15"/>
    </row>
    <row r="75" customFormat="false" ht="46.25" hidden="false" customHeight="false" outlineLevel="0" collapsed="false">
      <c r="A75" s="14" t="s">
        <v>358</v>
      </c>
      <c r="B75" s="14" t="s">
        <v>39</v>
      </c>
      <c r="C75" s="14" t="s">
        <v>41</v>
      </c>
      <c r="D75" s="14" t="s">
        <v>359</v>
      </c>
      <c r="E75" s="14" t="s">
        <v>360</v>
      </c>
      <c r="F75" s="14" t="s">
        <v>361</v>
      </c>
      <c r="G75" s="14" t="s">
        <v>362</v>
      </c>
      <c r="H75" s="14" t="s">
        <v>72</v>
      </c>
      <c r="I75" s="14" t="s">
        <v>73</v>
      </c>
      <c r="J75" s="14" t="s">
        <v>74</v>
      </c>
      <c r="K75" s="14" t="s">
        <v>363</v>
      </c>
      <c r="L75" s="15"/>
      <c r="M75" s="15"/>
      <c r="N75" s="15"/>
      <c r="O75" s="15"/>
    </row>
    <row r="76" customFormat="false" ht="35.05" hidden="false" customHeight="false" outlineLevel="0" collapsed="false">
      <c r="A76" s="14" t="s">
        <v>364</v>
      </c>
      <c r="B76" s="14" t="s">
        <v>39</v>
      </c>
      <c r="C76" s="14" t="s">
        <v>40</v>
      </c>
      <c r="D76" s="14" t="s">
        <v>365</v>
      </c>
      <c r="E76" s="14" t="s">
        <v>360</v>
      </c>
      <c r="F76" s="14" t="s">
        <v>366</v>
      </c>
      <c r="G76" s="14" t="s">
        <v>367</v>
      </c>
      <c r="H76" s="14" t="s">
        <v>72</v>
      </c>
      <c r="I76" s="14" t="s">
        <v>73</v>
      </c>
      <c r="J76" s="14" t="s">
        <v>74</v>
      </c>
      <c r="K76" s="14" t="s">
        <v>368</v>
      </c>
      <c r="L76" s="15"/>
      <c r="M76" s="15"/>
      <c r="N76" s="15"/>
      <c r="O76" s="15"/>
    </row>
    <row r="77" customFormat="false" ht="23.85" hidden="false" customHeight="false" outlineLevel="0" collapsed="false">
      <c r="A77" s="14" t="s">
        <v>369</v>
      </c>
      <c r="B77" s="14" t="s">
        <v>20</v>
      </c>
      <c r="C77" s="14" t="s">
        <v>32</v>
      </c>
      <c r="D77" s="14" t="s">
        <v>370</v>
      </c>
      <c r="E77" s="14" t="s">
        <v>371</v>
      </c>
      <c r="F77" s="14" t="s">
        <v>372</v>
      </c>
      <c r="G77" s="14" t="s">
        <v>373</v>
      </c>
      <c r="H77" s="14" t="s">
        <v>72</v>
      </c>
      <c r="I77" s="14" t="s">
        <v>374</v>
      </c>
      <c r="J77" s="14" t="s">
        <v>16</v>
      </c>
      <c r="K77" s="14"/>
      <c r="L77" s="15"/>
      <c r="M77" s="15"/>
      <c r="N77" s="15"/>
      <c r="O77" s="15"/>
    </row>
    <row r="78" customFormat="false" ht="23.85" hidden="false" customHeight="false" outlineLevel="0" collapsed="false">
      <c r="A78" s="14" t="s">
        <v>375</v>
      </c>
      <c r="B78" s="14" t="s">
        <v>20</v>
      </c>
      <c r="C78" s="14" t="s">
        <v>32</v>
      </c>
      <c r="D78" s="14" t="s">
        <v>376</v>
      </c>
      <c r="E78" s="14" t="s">
        <v>371</v>
      </c>
      <c r="F78" s="14" t="s">
        <v>377</v>
      </c>
      <c r="G78" s="14" t="s">
        <v>378</v>
      </c>
      <c r="H78" s="14" t="s">
        <v>72</v>
      </c>
      <c r="I78" s="14" t="s">
        <v>374</v>
      </c>
      <c r="J78" s="14" t="s">
        <v>16</v>
      </c>
      <c r="K78" s="14"/>
      <c r="L78" s="15"/>
      <c r="M78" s="15"/>
      <c r="N78" s="15"/>
      <c r="O78" s="15"/>
    </row>
    <row r="79" customFormat="false" ht="23.85" hidden="false" customHeight="false" outlineLevel="0" collapsed="false">
      <c r="A79" s="14" t="s">
        <v>379</v>
      </c>
      <c r="B79" s="14" t="s">
        <v>20</v>
      </c>
      <c r="C79" s="14" t="s">
        <v>32</v>
      </c>
      <c r="D79" s="14" t="s">
        <v>380</v>
      </c>
      <c r="E79" s="14" t="s">
        <v>371</v>
      </c>
      <c r="F79" s="14" t="s">
        <v>381</v>
      </c>
      <c r="G79" s="14" t="s">
        <v>382</v>
      </c>
      <c r="H79" s="14" t="s">
        <v>72</v>
      </c>
      <c r="I79" s="14" t="s">
        <v>374</v>
      </c>
      <c r="J79" s="14" t="s">
        <v>16</v>
      </c>
      <c r="K79" s="14"/>
      <c r="L79" s="15"/>
      <c r="M79" s="15"/>
      <c r="N79" s="15"/>
      <c r="O79" s="15"/>
    </row>
    <row r="80" customFormat="false" ht="23.85" hidden="false" customHeight="false" outlineLevel="0" collapsed="false">
      <c r="A80" s="14" t="s">
        <v>383</v>
      </c>
      <c r="B80" s="14" t="s">
        <v>20</v>
      </c>
      <c r="C80" s="14" t="s">
        <v>21</v>
      </c>
      <c r="D80" s="14" t="s">
        <v>384</v>
      </c>
      <c r="E80" s="14" t="s">
        <v>371</v>
      </c>
      <c r="F80" s="14" t="s">
        <v>385</v>
      </c>
      <c r="G80" s="14" t="s">
        <v>386</v>
      </c>
      <c r="H80" s="14" t="s">
        <v>158</v>
      </c>
      <c r="I80" s="14" t="s">
        <v>374</v>
      </c>
      <c r="J80" s="14" t="s">
        <v>16</v>
      </c>
      <c r="K80" s="14"/>
      <c r="L80" s="15"/>
      <c r="M80" s="15"/>
      <c r="N80" s="15"/>
      <c r="O80" s="15"/>
    </row>
    <row r="81" customFormat="false" ht="23.85" hidden="false" customHeight="false" outlineLevel="0" collapsed="false">
      <c r="A81" s="14" t="s">
        <v>387</v>
      </c>
      <c r="B81" s="14" t="s">
        <v>20</v>
      </c>
      <c r="C81" s="14" t="s">
        <v>21</v>
      </c>
      <c r="D81" s="14" t="s">
        <v>388</v>
      </c>
      <c r="E81" s="14" t="s">
        <v>371</v>
      </c>
      <c r="F81" s="14" t="s">
        <v>389</v>
      </c>
      <c r="G81" s="14" t="s">
        <v>390</v>
      </c>
      <c r="H81" s="14" t="s">
        <v>158</v>
      </c>
      <c r="I81" s="14" t="s">
        <v>374</v>
      </c>
      <c r="J81" s="14" t="s">
        <v>16</v>
      </c>
      <c r="K81" s="14"/>
      <c r="L81" s="15"/>
      <c r="M81" s="15"/>
      <c r="N81" s="15"/>
      <c r="O81" s="15"/>
    </row>
    <row r="82" customFormat="false" ht="23.85" hidden="false" customHeight="false" outlineLevel="0" collapsed="false">
      <c r="A82" s="14" t="s">
        <v>391</v>
      </c>
      <c r="B82" s="14" t="s">
        <v>20</v>
      </c>
      <c r="C82" s="14" t="s">
        <v>22</v>
      </c>
      <c r="D82" s="14" t="s">
        <v>392</v>
      </c>
      <c r="E82" s="14" t="s">
        <v>371</v>
      </c>
      <c r="F82" s="14" t="s">
        <v>393</v>
      </c>
      <c r="G82" s="14" t="s">
        <v>394</v>
      </c>
      <c r="H82" s="14" t="s">
        <v>158</v>
      </c>
      <c r="I82" s="14" t="s">
        <v>374</v>
      </c>
      <c r="J82" s="14" t="s">
        <v>16</v>
      </c>
      <c r="K82" s="14"/>
      <c r="L82" s="15"/>
      <c r="M82" s="15"/>
      <c r="N82" s="15"/>
      <c r="O82" s="15"/>
    </row>
    <row r="83" customFormat="false" ht="23.85" hidden="false" customHeight="false" outlineLevel="0" collapsed="false">
      <c r="A83" s="14" t="s">
        <v>395</v>
      </c>
      <c r="B83" s="14" t="s">
        <v>20</v>
      </c>
      <c r="C83" s="14" t="s">
        <v>21</v>
      </c>
      <c r="D83" s="14" t="s">
        <v>396</v>
      </c>
      <c r="E83" s="14" t="s">
        <v>371</v>
      </c>
      <c r="F83" s="14" t="s">
        <v>397</v>
      </c>
      <c r="G83" s="14" t="s">
        <v>398</v>
      </c>
      <c r="H83" s="14" t="s">
        <v>72</v>
      </c>
      <c r="I83" s="14" t="s">
        <v>399</v>
      </c>
      <c r="J83" s="14" t="s">
        <v>16</v>
      </c>
      <c r="K83" s="14"/>
      <c r="L83" s="15"/>
      <c r="M83" s="15"/>
      <c r="N83" s="15"/>
      <c r="O83" s="15"/>
    </row>
    <row r="84" customFormat="false" ht="23.85" hidden="false" customHeight="false" outlineLevel="0" collapsed="false">
      <c r="A84" s="14" t="s">
        <v>400</v>
      </c>
      <c r="B84" s="14" t="s">
        <v>20</v>
      </c>
      <c r="C84" s="14" t="s">
        <v>21</v>
      </c>
      <c r="D84" s="14" t="s">
        <v>401</v>
      </c>
      <c r="E84" s="14" t="s">
        <v>371</v>
      </c>
      <c r="F84" s="14" t="s">
        <v>402</v>
      </c>
      <c r="G84" s="14" t="s">
        <v>403</v>
      </c>
      <c r="H84" s="14" t="s">
        <v>72</v>
      </c>
      <c r="I84" s="14" t="s">
        <v>404</v>
      </c>
      <c r="J84" s="14" t="s">
        <v>16</v>
      </c>
      <c r="K84" s="14"/>
      <c r="L84" s="15"/>
      <c r="M84" s="15"/>
      <c r="N84" s="15"/>
      <c r="O84" s="15"/>
    </row>
    <row r="85" customFormat="false" ht="23.85" hidden="false" customHeight="false" outlineLevel="0" collapsed="false">
      <c r="A85" s="14" t="s">
        <v>405</v>
      </c>
      <c r="B85" s="14" t="s">
        <v>20</v>
      </c>
      <c r="C85" s="14" t="s">
        <v>23</v>
      </c>
      <c r="D85" s="14" t="s">
        <v>406</v>
      </c>
      <c r="E85" s="14" t="s">
        <v>371</v>
      </c>
      <c r="F85" s="14" t="s">
        <v>407</v>
      </c>
      <c r="G85" s="14" t="s">
        <v>408</v>
      </c>
      <c r="H85" s="14" t="s">
        <v>158</v>
      </c>
      <c r="I85" s="14" t="s">
        <v>374</v>
      </c>
      <c r="J85" s="14" t="s">
        <v>16</v>
      </c>
      <c r="K85" s="14"/>
      <c r="L85" s="15"/>
      <c r="M85" s="15"/>
      <c r="N85" s="15"/>
      <c r="O85" s="15"/>
    </row>
    <row r="86" customFormat="false" ht="23.85" hidden="false" customHeight="false" outlineLevel="0" collapsed="false">
      <c r="A86" s="14" t="s">
        <v>409</v>
      </c>
      <c r="B86" s="14" t="s">
        <v>20</v>
      </c>
      <c r="C86" s="14" t="s">
        <v>23</v>
      </c>
      <c r="D86" s="14" t="s">
        <v>410</v>
      </c>
      <c r="E86" s="14" t="s">
        <v>371</v>
      </c>
      <c r="F86" s="14" t="s">
        <v>411</v>
      </c>
      <c r="G86" s="14" t="s">
        <v>412</v>
      </c>
      <c r="H86" s="14" t="s">
        <v>158</v>
      </c>
      <c r="I86" s="14" t="s">
        <v>374</v>
      </c>
      <c r="J86" s="14" t="s">
        <v>16</v>
      </c>
      <c r="K86" s="14"/>
      <c r="L86" s="15"/>
      <c r="M86" s="15"/>
      <c r="N86" s="15"/>
      <c r="O86" s="15"/>
    </row>
    <row r="87" customFormat="false" ht="23.85" hidden="false" customHeight="false" outlineLevel="0" collapsed="false">
      <c r="A87" s="14" t="s">
        <v>413</v>
      </c>
      <c r="B87" s="14" t="s">
        <v>20</v>
      </c>
      <c r="C87" s="14" t="s">
        <v>33</v>
      </c>
      <c r="D87" s="14" t="s">
        <v>414</v>
      </c>
      <c r="E87" s="14" t="s">
        <v>371</v>
      </c>
      <c r="F87" s="14" t="s">
        <v>415</v>
      </c>
      <c r="G87" s="14" t="s">
        <v>416</v>
      </c>
      <c r="H87" s="14" t="s">
        <v>158</v>
      </c>
      <c r="I87" s="14" t="s">
        <v>374</v>
      </c>
      <c r="J87" s="14" t="s">
        <v>16</v>
      </c>
      <c r="K87" s="14"/>
      <c r="L87" s="15"/>
      <c r="M87" s="15"/>
      <c r="N87" s="15"/>
      <c r="O87" s="15"/>
    </row>
    <row r="88" customFormat="false" ht="23.85" hidden="false" customHeight="false" outlineLevel="0" collapsed="false">
      <c r="A88" s="14" t="s">
        <v>417</v>
      </c>
      <c r="B88" s="14" t="s">
        <v>20</v>
      </c>
      <c r="C88" s="14" t="s">
        <v>34</v>
      </c>
      <c r="D88" s="14" t="s">
        <v>418</v>
      </c>
      <c r="E88" s="14" t="s">
        <v>371</v>
      </c>
      <c r="F88" s="14" t="s">
        <v>419</v>
      </c>
      <c r="G88" s="14" t="s">
        <v>420</v>
      </c>
      <c r="H88" s="14" t="s">
        <v>72</v>
      </c>
      <c r="I88" s="14" t="s">
        <v>421</v>
      </c>
      <c r="J88" s="14" t="s">
        <v>16</v>
      </c>
      <c r="K88" s="14"/>
      <c r="L88" s="15"/>
      <c r="M88" s="15"/>
      <c r="N88" s="15"/>
      <c r="O88" s="15"/>
    </row>
    <row r="89" customFormat="false" ht="23.85" hidden="false" customHeight="false" outlineLevel="0" collapsed="false">
      <c r="A89" s="14" t="s">
        <v>422</v>
      </c>
      <c r="B89" s="14" t="s">
        <v>20</v>
      </c>
      <c r="C89" s="14" t="s">
        <v>26</v>
      </c>
      <c r="D89" s="14" t="s">
        <v>423</v>
      </c>
      <c r="E89" s="14" t="s">
        <v>371</v>
      </c>
      <c r="F89" s="14" t="s">
        <v>424</v>
      </c>
      <c r="G89" s="14" t="s">
        <v>425</v>
      </c>
      <c r="H89" s="14" t="s">
        <v>158</v>
      </c>
      <c r="I89" s="14" t="s">
        <v>374</v>
      </c>
      <c r="J89" s="14" t="s">
        <v>16</v>
      </c>
      <c r="K89" s="14"/>
      <c r="L89" s="15"/>
      <c r="M89" s="15"/>
      <c r="N89" s="15"/>
      <c r="O89" s="15"/>
    </row>
    <row r="90" customFormat="false" ht="23.85" hidden="false" customHeight="false" outlineLevel="0" collapsed="false">
      <c r="A90" s="14" t="s">
        <v>426</v>
      </c>
      <c r="B90" s="14" t="s">
        <v>20</v>
      </c>
      <c r="C90" s="14" t="s">
        <v>27</v>
      </c>
      <c r="D90" s="14" t="s">
        <v>427</v>
      </c>
      <c r="E90" s="14" t="s">
        <v>371</v>
      </c>
      <c r="F90" s="14" t="s">
        <v>428</v>
      </c>
      <c r="G90" s="14" t="s">
        <v>429</v>
      </c>
      <c r="H90" s="14" t="s">
        <v>158</v>
      </c>
      <c r="I90" s="14" t="s">
        <v>374</v>
      </c>
      <c r="J90" s="14" t="s">
        <v>16</v>
      </c>
      <c r="K90" s="14"/>
      <c r="L90" s="15"/>
      <c r="M90" s="15"/>
      <c r="N90" s="15"/>
      <c r="O90" s="15"/>
    </row>
    <row r="91" customFormat="false" ht="23.85" hidden="false" customHeight="false" outlineLevel="0" collapsed="false">
      <c r="A91" s="14" t="s">
        <v>430</v>
      </c>
      <c r="B91" s="14" t="s">
        <v>20</v>
      </c>
      <c r="C91" s="14" t="s">
        <v>27</v>
      </c>
      <c r="D91" s="14" t="s">
        <v>431</v>
      </c>
      <c r="E91" s="14" t="s">
        <v>371</v>
      </c>
      <c r="F91" s="14" t="s">
        <v>432</v>
      </c>
      <c r="G91" s="14" t="s">
        <v>433</v>
      </c>
      <c r="H91" s="14" t="s">
        <v>158</v>
      </c>
      <c r="I91" s="14" t="s">
        <v>374</v>
      </c>
      <c r="J91" s="14" t="s">
        <v>16</v>
      </c>
      <c r="K91" s="14"/>
      <c r="L91" s="15"/>
      <c r="M91" s="15"/>
      <c r="N91" s="15"/>
      <c r="O91" s="15"/>
    </row>
    <row r="92" customFormat="false" ht="23.85" hidden="false" customHeight="false" outlineLevel="0" collapsed="false">
      <c r="A92" s="14" t="s">
        <v>434</v>
      </c>
      <c r="B92" s="14" t="s">
        <v>20</v>
      </c>
      <c r="C92" s="14" t="s">
        <v>28</v>
      </c>
      <c r="D92" s="14" t="s">
        <v>435</v>
      </c>
      <c r="E92" s="14" t="s">
        <v>371</v>
      </c>
      <c r="F92" s="14" t="s">
        <v>436</v>
      </c>
      <c r="G92" s="14" t="s">
        <v>437</v>
      </c>
      <c r="H92" s="14" t="s">
        <v>158</v>
      </c>
      <c r="I92" s="14" t="s">
        <v>374</v>
      </c>
      <c r="J92" s="14" t="s">
        <v>16</v>
      </c>
      <c r="K92" s="14"/>
      <c r="L92" s="15"/>
      <c r="M92" s="15"/>
      <c r="N92" s="15"/>
      <c r="O92" s="15"/>
    </row>
    <row r="93" customFormat="false" ht="23.85" hidden="false" customHeight="false" outlineLevel="0" collapsed="false">
      <c r="A93" s="14" t="s">
        <v>438</v>
      </c>
      <c r="B93" s="14" t="s">
        <v>20</v>
      </c>
      <c r="C93" s="14" t="s">
        <v>28</v>
      </c>
      <c r="D93" s="14" t="s">
        <v>439</v>
      </c>
      <c r="E93" s="14" t="s">
        <v>371</v>
      </c>
      <c r="F93" s="14" t="s">
        <v>440</v>
      </c>
      <c r="G93" s="14" t="s">
        <v>441</v>
      </c>
      <c r="H93" s="14" t="s">
        <v>158</v>
      </c>
      <c r="I93" s="14" t="s">
        <v>374</v>
      </c>
      <c r="J93" s="14" t="s">
        <v>16</v>
      </c>
      <c r="K93" s="14"/>
      <c r="L93" s="15"/>
      <c r="M93" s="15"/>
      <c r="N93" s="15"/>
      <c r="O93" s="15"/>
    </row>
    <row r="94" customFormat="false" ht="23.85" hidden="false" customHeight="false" outlineLevel="0" collapsed="false">
      <c r="A94" s="14" t="s">
        <v>442</v>
      </c>
      <c r="B94" s="14" t="s">
        <v>20</v>
      </c>
      <c r="C94" s="14" t="s">
        <v>29</v>
      </c>
      <c r="D94" s="14" t="s">
        <v>443</v>
      </c>
      <c r="E94" s="14" t="s">
        <v>371</v>
      </c>
      <c r="F94" s="14" t="s">
        <v>444</v>
      </c>
      <c r="G94" s="14" t="s">
        <v>445</v>
      </c>
      <c r="H94" s="14" t="s">
        <v>158</v>
      </c>
      <c r="I94" s="14" t="s">
        <v>374</v>
      </c>
      <c r="J94" s="14" t="s">
        <v>16</v>
      </c>
      <c r="K94" s="14"/>
      <c r="L94" s="15"/>
      <c r="M94" s="15"/>
      <c r="N94" s="15"/>
      <c r="O94" s="15"/>
    </row>
    <row r="95" customFormat="false" ht="23.85" hidden="false" customHeight="false" outlineLevel="0" collapsed="false">
      <c r="A95" s="14" t="s">
        <v>446</v>
      </c>
      <c r="B95" s="14" t="s">
        <v>20</v>
      </c>
      <c r="C95" s="14" t="s">
        <v>29</v>
      </c>
      <c r="D95" s="14" t="s">
        <v>447</v>
      </c>
      <c r="E95" s="14" t="s">
        <v>371</v>
      </c>
      <c r="F95" s="14" t="s">
        <v>448</v>
      </c>
      <c r="G95" s="14" t="s">
        <v>449</v>
      </c>
      <c r="H95" s="14" t="s">
        <v>450</v>
      </c>
      <c r="I95" s="14" t="s">
        <v>399</v>
      </c>
      <c r="J95" s="14" t="s">
        <v>16</v>
      </c>
      <c r="K95" s="14"/>
      <c r="L95" s="15"/>
      <c r="M95" s="15"/>
      <c r="N95" s="15"/>
      <c r="O95" s="15"/>
    </row>
    <row r="96" customFormat="false" ht="23.85" hidden="false" customHeight="false" outlineLevel="0" collapsed="false">
      <c r="A96" s="14" t="s">
        <v>451</v>
      </c>
      <c r="B96" s="14" t="s">
        <v>20</v>
      </c>
      <c r="C96" s="14" t="s">
        <v>31</v>
      </c>
      <c r="D96" s="14" t="s">
        <v>452</v>
      </c>
      <c r="E96" s="14" t="s">
        <v>371</v>
      </c>
      <c r="F96" s="14" t="s">
        <v>453</v>
      </c>
      <c r="G96" s="14" t="s">
        <v>454</v>
      </c>
      <c r="H96" s="14" t="s">
        <v>72</v>
      </c>
      <c r="I96" s="14" t="s">
        <v>374</v>
      </c>
      <c r="J96" s="14" t="s">
        <v>16</v>
      </c>
      <c r="K96" s="14"/>
      <c r="L96" s="15"/>
      <c r="M96" s="15"/>
      <c r="N96" s="15"/>
      <c r="O96" s="15"/>
    </row>
    <row r="97" customFormat="false" ht="23.85" hidden="false" customHeight="false" outlineLevel="0" collapsed="false">
      <c r="A97" s="14" t="s">
        <v>455</v>
      </c>
      <c r="B97" s="14" t="s">
        <v>20</v>
      </c>
      <c r="C97" s="14" t="s">
        <v>31</v>
      </c>
      <c r="D97" s="14" t="s">
        <v>456</v>
      </c>
      <c r="E97" s="14" t="s">
        <v>371</v>
      </c>
      <c r="F97" s="14" t="s">
        <v>457</v>
      </c>
      <c r="G97" s="14" t="s">
        <v>458</v>
      </c>
      <c r="H97" s="14" t="s">
        <v>450</v>
      </c>
      <c r="I97" s="14" t="s">
        <v>399</v>
      </c>
      <c r="J97" s="14" t="s">
        <v>16</v>
      </c>
      <c r="K97" s="14"/>
      <c r="L97" s="15"/>
      <c r="M97" s="15"/>
      <c r="N97" s="15"/>
      <c r="O97" s="15"/>
    </row>
    <row r="98" customFormat="false" ht="35.05" hidden="false" customHeight="false" outlineLevel="0" collapsed="false">
      <c r="A98" s="14" t="s">
        <v>459</v>
      </c>
      <c r="B98" s="14" t="s">
        <v>20</v>
      </c>
      <c r="C98" s="14" t="s">
        <v>35</v>
      </c>
      <c r="D98" s="14" t="s">
        <v>460</v>
      </c>
      <c r="E98" s="14" t="s">
        <v>371</v>
      </c>
      <c r="F98" s="14" t="s">
        <v>461</v>
      </c>
      <c r="G98" s="14" t="s">
        <v>462</v>
      </c>
      <c r="H98" s="14" t="s">
        <v>158</v>
      </c>
      <c r="I98" s="14" t="s">
        <v>374</v>
      </c>
      <c r="J98" s="14" t="s">
        <v>16</v>
      </c>
      <c r="K98" s="14"/>
      <c r="L98" s="15"/>
      <c r="M98" s="15"/>
      <c r="N98" s="15"/>
      <c r="O98" s="15"/>
    </row>
    <row r="99" customFormat="false" ht="23.85" hidden="false" customHeight="false" outlineLevel="0" collapsed="false">
      <c r="A99" s="14" t="s">
        <v>463</v>
      </c>
      <c r="B99" s="14" t="s">
        <v>39</v>
      </c>
      <c r="C99" s="14" t="s">
        <v>43</v>
      </c>
      <c r="D99" s="14" t="s">
        <v>464</v>
      </c>
      <c r="E99" s="14" t="s">
        <v>371</v>
      </c>
      <c r="F99" s="14" t="s">
        <v>465</v>
      </c>
      <c r="G99" s="14" t="s">
        <v>466</v>
      </c>
      <c r="H99" s="14" t="s">
        <v>158</v>
      </c>
      <c r="I99" s="14" t="s">
        <v>404</v>
      </c>
      <c r="J99" s="14" t="s">
        <v>16</v>
      </c>
      <c r="K99" s="14"/>
      <c r="L99" s="15"/>
      <c r="M99" s="15"/>
      <c r="N99" s="15"/>
      <c r="O99" s="15"/>
    </row>
    <row r="100" customFormat="false" ht="23.85" hidden="false" customHeight="false" outlineLevel="0" collapsed="false">
      <c r="A100" s="14" t="s">
        <v>467</v>
      </c>
      <c r="B100" s="14" t="s">
        <v>20</v>
      </c>
      <c r="C100" s="14" t="s">
        <v>36</v>
      </c>
      <c r="D100" s="14" t="s">
        <v>468</v>
      </c>
      <c r="E100" s="14" t="s">
        <v>371</v>
      </c>
      <c r="F100" s="14" t="s">
        <v>469</v>
      </c>
      <c r="G100" s="14" t="s">
        <v>470</v>
      </c>
      <c r="H100" s="14" t="s">
        <v>158</v>
      </c>
      <c r="I100" s="14" t="s">
        <v>399</v>
      </c>
      <c r="J100" s="14" t="s">
        <v>16</v>
      </c>
      <c r="K100" s="14"/>
      <c r="L100" s="15"/>
      <c r="M100" s="15"/>
      <c r="N100" s="15"/>
      <c r="O100" s="15"/>
    </row>
    <row r="101" customFormat="false" ht="23.85" hidden="false" customHeight="false" outlineLevel="0" collapsed="false">
      <c r="A101" s="14" t="s">
        <v>471</v>
      </c>
      <c r="B101" s="14" t="s">
        <v>20</v>
      </c>
      <c r="C101" s="14" t="s">
        <v>36</v>
      </c>
      <c r="D101" s="14" t="s">
        <v>472</v>
      </c>
      <c r="E101" s="14" t="s">
        <v>371</v>
      </c>
      <c r="F101" s="14" t="s">
        <v>473</v>
      </c>
      <c r="G101" s="14" t="s">
        <v>474</v>
      </c>
      <c r="H101" s="14" t="s">
        <v>450</v>
      </c>
      <c r="I101" s="14" t="s">
        <v>399</v>
      </c>
      <c r="J101" s="14" t="s">
        <v>16</v>
      </c>
      <c r="K101" s="14"/>
      <c r="L101" s="15"/>
      <c r="M101" s="15"/>
      <c r="N101" s="15"/>
      <c r="O101" s="15"/>
    </row>
    <row r="102" customFormat="false" ht="23.85" hidden="false" customHeight="false" outlineLevel="0" collapsed="false">
      <c r="A102" s="14" t="s">
        <v>475</v>
      </c>
      <c r="B102" s="14" t="s">
        <v>39</v>
      </c>
      <c r="C102" s="14" t="s">
        <v>40</v>
      </c>
      <c r="D102" s="14" t="s">
        <v>476</v>
      </c>
      <c r="E102" s="14" t="s">
        <v>371</v>
      </c>
      <c r="F102" s="14" t="s">
        <v>477</v>
      </c>
      <c r="G102" s="14" t="s">
        <v>478</v>
      </c>
      <c r="H102" s="14" t="s">
        <v>72</v>
      </c>
      <c r="I102" s="14" t="s">
        <v>404</v>
      </c>
      <c r="J102" s="14" t="s">
        <v>16</v>
      </c>
      <c r="K102" s="14"/>
      <c r="L102" s="15"/>
      <c r="M102" s="15"/>
      <c r="N102" s="15"/>
      <c r="O102" s="15"/>
    </row>
    <row r="103" customFormat="false" ht="23.85" hidden="false" customHeight="false" outlineLevel="0" collapsed="false">
      <c r="A103" s="14" t="s">
        <v>479</v>
      </c>
      <c r="B103" s="14" t="s">
        <v>39</v>
      </c>
      <c r="C103" s="14" t="s">
        <v>40</v>
      </c>
      <c r="D103" s="14" t="s">
        <v>480</v>
      </c>
      <c r="E103" s="14" t="s">
        <v>371</v>
      </c>
      <c r="F103" s="14" t="s">
        <v>481</v>
      </c>
      <c r="G103" s="14" t="s">
        <v>482</v>
      </c>
      <c r="H103" s="14" t="s">
        <v>72</v>
      </c>
      <c r="I103" s="14" t="s">
        <v>404</v>
      </c>
      <c r="J103" s="14" t="s">
        <v>16</v>
      </c>
      <c r="K103" s="14"/>
      <c r="L103" s="15"/>
      <c r="M103" s="15"/>
      <c r="N103" s="15"/>
      <c r="O103" s="15"/>
    </row>
    <row r="104" customFormat="false" ht="23.85" hidden="false" customHeight="false" outlineLevel="0" collapsed="false">
      <c r="A104" s="14" t="s">
        <v>483</v>
      </c>
      <c r="B104" s="14" t="s">
        <v>39</v>
      </c>
      <c r="C104" s="14" t="s">
        <v>40</v>
      </c>
      <c r="D104" s="14" t="s">
        <v>484</v>
      </c>
      <c r="E104" s="14" t="s">
        <v>371</v>
      </c>
      <c r="F104" s="14" t="s">
        <v>485</v>
      </c>
      <c r="G104" s="14" t="s">
        <v>486</v>
      </c>
      <c r="H104" s="14" t="s">
        <v>72</v>
      </c>
      <c r="I104" s="14" t="s">
        <v>404</v>
      </c>
      <c r="J104" s="14" t="s">
        <v>16</v>
      </c>
      <c r="K104" s="14"/>
      <c r="L104" s="15"/>
      <c r="M104" s="15"/>
      <c r="N104" s="15"/>
      <c r="O104" s="15"/>
    </row>
    <row r="105" customFormat="false" ht="23.85" hidden="false" customHeight="false" outlineLevel="0" collapsed="false">
      <c r="A105" s="14" t="s">
        <v>487</v>
      </c>
      <c r="B105" s="14" t="s">
        <v>39</v>
      </c>
      <c r="C105" s="14" t="s">
        <v>40</v>
      </c>
      <c r="D105" s="14" t="s">
        <v>488</v>
      </c>
      <c r="E105" s="14" t="s">
        <v>371</v>
      </c>
      <c r="F105" s="14" t="s">
        <v>489</v>
      </c>
      <c r="G105" s="14" t="s">
        <v>490</v>
      </c>
      <c r="H105" s="14" t="s">
        <v>158</v>
      </c>
      <c r="I105" s="14" t="s">
        <v>404</v>
      </c>
      <c r="J105" s="14" t="s">
        <v>16</v>
      </c>
      <c r="K105" s="14"/>
      <c r="L105" s="15"/>
      <c r="M105" s="15"/>
      <c r="N105" s="15"/>
      <c r="O105" s="15"/>
    </row>
    <row r="106" customFormat="false" ht="23.85" hidden="false" customHeight="false" outlineLevel="0" collapsed="false">
      <c r="A106" s="14" t="s">
        <v>491</v>
      </c>
      <c r="B106" s="14" t="s">
        <v>20</v>
      </c>
      <c r="C106" s="14" t="s">
        <v>37</v>
      </c>
      <c r="D106" s="14" t="s">
        <v>492</v>
      </c>
      <c r="E106" s="14" t="s">
        <v>371</v>
      </c>
      <c r="F106" s="14" t="s">
        <v>493</v>
      </c>
      <c r="G106" s="14" t="s">
        <v>494</v>
      </c>
      <c r="H106" s="14" t="s">
        <v>158</v>
      </c>
      <c r="I106" s="14" t="s">
        <v>37</v>
      </c>
      <c r="J106" s="14" t="s">
        <v>16</v>
      </c>
      <c r="K106" s="14"/>
      <c r="L106" s="15"/>
      <c r="M106" s="15"/>
      <c r="N106" s="15"/>
      <c r="O106" s="15"/>
    </row>
  </sheetData>
  <autoFilter ref="A1:O106"/>
  <conditionalFormatting sqref="J2:J106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  <cfRule type="cellIs" priority="4" operator="equal" aboveAverage="0" equalAverage="0" bottom="0" percent="0" rank="0" text="" dxfId="7">
      <formula>"Blocked"</formula>
    </cfRule>
  </conditionalFormatting>
  <conditionalFormatting sqref="L2:L106">
    <cfRule type="cellIs" priority="5" operator="equal" aboveAverage="0" equalAverage="0" bottom="0" percent="0" rank="0" text="" dxfId="5">
      <formula>"Pass"</formula>
    </cfRule>
    <cfRule type="cellIs" priority="6" operator="equal" aboveAverage="0" equalAverage="0" bottom="0" percent="0" rank="0" text="" dxfId="6">
      <formula>"Fail"</formula>
    </cfRule>
    <cfRule type="cellIs" priority="7" operator="equal" aboveAverage="0" equalAverage="0" bottom="0" percent="0" rank="0" text="" dxfId="7">
      <formula>"Blocked"</formula>
    </cfRule>
  </conditionalFormatting>
  <dataValidations count="2">
    <dataValidation allowBlank="true" errorStyle="stop" operator="between" showDropDown="false" showErrorMessage="false" showInputMessage="false" sqref="L2:L106" type="list">
      <formula1>"Pass,Fail,Blocked,Not Run"</formula1>
      <formula2>0</formula2>
    </dataValidation>
    <dataValidation allowBlank="false" errorStyle="stop" operator="between" showDropDown="false" showErrorMessage="false" showInputMessage="false" sqref="H2:H106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4"/>
    <col collapsed="false" customWidth="true" hidden="false" outlineLevel="0" max="3" min="3" style="0" width="30"/>
    <col collapsed="false" customWidth="true" hidden="false" outlineLevel="0" max="4" min="4" style="0" width="44"/>
  </cols>
  <sheetData>
    <row r="1" customFormat="false" ht="15" hidden="false" customHeight="false" outlineLevel="0" collapsed="false">
      <c r="A1" s="16" t="s">
        <v>495</v>
      </c>
    </row>
    <row r="3" customFormat="false" ht="15" hidden="false" customHeight="false" outlineLevel="0" collapsed="false">
      <c r="A3" s="2" t="s">
        <v>496</v>
      </c>
      <c r="B3" s="13" t="s">
        <v>497</v>
      </c>
    </row>
    <row r="4" customFormat="false" ht="15" hidden="false" customHeight="false" outlineLevel="0" collapsed="false">
      <c r="A4" s="2" t="s">
        <v>498</v>
      </c>
      <c r="B4" s="13" t="s">
        <v>499</v>
      </c>
    </row>
    <row r="5" customFormat="false" ht="15" hidden="false" customHeight="false" outlineLevel="0" collapsed="false">
      <c r="A5" s="2" t="s">
        <v>500</v>
      </c>
      <c r="B5" s="13" t="s">
        <v>501</v>
      </c>
    </row>
    <row r="6" customFormat="false" ht="15" hidden="false" customHeight="false" outlineLevel="0" collapsed="false">
      <c r="A6" s="2" t="s">
        <v>502</v>
      </c>
      <c r="B6" s="13" t="s">
        <v>503</v>
      </c>
    </row>
    <row r="7" customFormat="false" ht="15" hidden="false" customHeight="false" outlineLevel="0" collapsed="false">
      <c r="A7" s="2" t="s">
        <v>504</v>
      </c>
      <c r="B7" s="13" t="s">
        <v>505</v>
      </c>
    </row>
    <row r="10" customFormat="false" ht="15" hidden="false" customHeight="false" outlineLevel="0" collapsed="false">
      <c r="A10" s="16" t="s">
        <v>506</v>
      </c>
    </row>
    <row r="11" customFormat="false" ht="15" hidden="false" customHeight="false" outlineLevel="0" collapsed="false">
      <c r="A11" s="9" t="s">
        <v>507</v>
      </c>
      <c r="B11" s="9" t="s">
        <v>508</v>
      </c>
      <c r="C11" s="9" t="s">
        <v>509</v>
      </c>
      <c r="D11" s="9" t="s">
        <v>510</v>
      </c>
    </row>
    <row r="12" customFormat="false" ht="15" hidden="false" customHeight="false" outlineLevel="0" collapsed="false">
      <c r="A12" s="14" t="s">
        <v>511</v>
      </c>
      <c r="B12" s="14" t="s">
        <v>512</v>
      </c>
      <c r="C12" s="14" t="s">
        <v>513</v>
      </c>
      <c r="D12" s="14" t="s">
        <v>514</v>
      </c>
    </row>
    <row r="13" customFormat="false" ht="23.85" hidden="false" customHeight="false" outlineLevel="0" collapsed="false">
      <c r="A13" s="14" t="s">
        <v>515</v>
      </c>
      <c r="B13" s="14" t="s">
        <v>516</v>
      </c>
      <c r="C13" s="14" t="s">
        <v>517</v>
      </c>
      <c r="D13" s="14" t="s">
        <v>518</v>
      </c>
    </row>
    <row r="14" customFormat="false" ht="15" hidden="false" customHeight="false" outlineLevel="0" collapsed="false">
      <c r="A14" s="14" t="s">
        <v>519</v>
      </c>
      <c r="B14" s="14" t="s">
        <v>520</v>
      </c>
      <c r="C14" s="14" t="s">
        <v>521</v>
      </c>
      <c r="D14" s="14" t="s">
        <v>522</v>
      </c>
    </row>
    <row r="15" customFormat="false" ht="23.85" hidden="false" customHeight="false" outlineLevel="0" collapsed="false">
      <c r="A15" s="14" t="s">
        <v>523</v>
      </c>
      <c r="B15" s="14" t="s">
        <v>524</v>
      </c>
      <c r="C15" s="14" t="s">
        <v>525</v>
      </c>
      <c r="D15" s="14" t="s">
        <v>526</v>
      </c>
    </row>
    <row r="16" customFormat="false" ht="15" hidden="false" customHeight="false" outlineLevel="0" collapsed="false">
      <c r="A16" s="14" t="s">
        <v>527</v>
      </c>
      <c r="B16" s="14" t="s">
        <v>28</v>
      </c>
      <c r="C16" s="14" t="s">
        <v>528</v>
      </c>
      <c r="D16" s="14" t="s">
        <v>529</v>
      </c>
    </row>
    <row r="17" customFormat="false" ht="15" hidden="false" customHeight="false" outlineLevel="0" collapsed="false">
      <c r="A17" s="14" t="s">
        <v>530</v>
      </c>
      <c r="B17" s="14" t="s">
        <v>531</v>
      </c>
      <c r="C17" s="14" t="s">
        <v>532</v>
      </c>
      <c r="D17" s="14" t="s">
        <v>533</v>
      </c>
    </row>
    <row r="18" customFormat="false" ht="15" hidden="false" customHeight="false" outlineLevel="0" collapsed="false">
      <c r="A18" s="14" t="s">
        <v>534</v>
      </c>
      <c r="B18" s="14" t="s">
        <v>30</v>
      </c>
      <c r="C18" s="14" t="s">
        <v>535</v>
      </c>
      <c r="D18" s="14" t="s">
        <v>536</v>
      </c>
    </row>
    <row r="19" customFormat="false" ht="15" hidden="false" customHeight="false" outlineLevel="0" collapsed="false">
      <c r="A19" s="14" t="s">
        <v>537</v>
      </c>
      <c r="B19" s="14" t="s">
        <v>26</v>
      </c>
      <c r="C19" s="14" t="s">
        <v>538</v>
      </c>
      <c r="D19" s="14" t="s">
        <v>539</v>
      </c>
    </row>
    <row r="20" customFormat="false" ht="15" hidden="false" customHeight="false" outlineLevel="0" collapsed="false">
      <c r="A20" s="14" t="s">
        <v>540</v>
      </c>
      <c r="B20" s="14" t="s">
        <v>541</v>
      </c>
      <c r="C20" s="14" t="s">
        <v>542</v>
      </c>
      <c r="D20" s="14" t="s">
        <v>543</v>
      </c>
    </row>
    <row r="22" customFormat="false" ht="15" hidden="false" customHeight="false" outlineLevel="0" collapsed="false">
      <c r="A22" s="16" t="s">
        <v>544</v>
      </c>
    </row>
    <row r="23" customFormat="false" ht="15" hidden="false" customHeight="false" outlineLevel="0" collapsed="false">
      <c r="A23" s="9" t="s">
        <v>545</v>
      </c>
      <c r="B23" s="9" t="s">
        <v>546</v>
      </c>
      <c r="C23" s="9" t="s">
        <v>547</v>
      </c>
      <c r="D23" s="9" t="s">
        <v>548</v>
      </c>
    </row>
    <row r="24" customFormat="false" ht="15" hidden="false" customHeight="false" outlineLevel="0" collapsed="false">
      <c r="A24" s="14" t="s">
        <v>549</v>
      </c>
      <c r="B24" s="14" t="s">
        <v>550</v>
      </c>
      <c r="C24" s="14" t="s">
        <v>514</v>
      </c>
      <c r="D24" s="14" t="s">
        <v>551</v>
      </c>
    </row>
    <row r="25" customFormat="false" ht="35.05" hidden="false" customHeight="false" outlineLevel="0" collapsed="false">
      <c r="A25" s="14" t="s">
        <v>552</v>
      </c>
      <c r="B25" s="14" t="s">
        <v>553</v>
      </c>
      <c r="C25" s="14" t="s">
        <v>554</v>
      </c>
      <c r="D25" s="14" t="s">
        <v>555</v>
      </c>
    </row>
    <row r="26" customFormat="false" ht="15" hidden="false" customHeight="false" outlineLevel="0" collapsed="false">
      <c r="A26" s="14" t="s">
        <v>556</v>
      </c>
      <c r="B26" s="14" t="s">
        <v>557</v>
      </c>
      <c r="C26" s="14" t="s">
        <v>558</v>
      </c>
      <c r="D26" s="14" t="s">
        <v>559</v>
      </c>
    </row>
    <row r="27" customFormat="false" ht="23.85" hidden="false" customHeight="false" outlineLevel="0" collapsed="false">
      <c r="A27" s="14" t="s">
        <v>560</v>
      </c>
      <c r="B27" s="14" t="s">
        <v>561</v>
      </c>
      <c r="C27" s="14" t="s">
        <v>562</v>
      </c>
      <c r="D27" s="14" t="s">
        <v>563</v>
      </c>
    </row>
    <row r="28" customFormat="false" ht="15" hidden="false" customHeight="false" outlineLevel="0" collapsed="false">
      <c r="A28" s="14" t="s">
        <v>564</v>
      </c>
      <c r="B28" s="14" t="s">
        <v>565</v>
      </c>
      <c r="C28" s="14" t="s">
        <v>566</v>
      </c>
      <c r="D28" s="14" t="s">
        <v>567</v>
      </c>
    </row>
    <row r="30" customFormat="false" ht="15" hidden="false" customHeight="false" outlineLevel="0" collapsed="false">
      <c r="A30" s="13" t="s">
        <v>568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2026-10-18T06:22:14Z</dcterms:created>
  <dc:creator>openpyxl</dc:creator>
  <dc:description/>
  <dc:language>en-US</dc:language>
  <cp:lastModifiedBy/>
  <dcterms:modified xsi:type="dcterms:W3CDTF">2026-10-18T06:22:15Z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